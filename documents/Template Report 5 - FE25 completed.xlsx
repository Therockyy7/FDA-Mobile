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E-15" sheetId="1" state="visible" r:id="rId1"/>
    <sheet xmlns:r="http://schemas.openxmlformats.org/officeDocument/2006/relationships" name="FE-2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m/dd/yyyy"/>
  </numFmts>
  <fonts count="13">
    <font>
      <name val="Arial"/>
      <color rgb="FF000000"/>
      <sz val="10"/>
      <scheme val="minor"/>
    </font>
    <font>
      <name val="Tahoma"/>
      <color theme="1"/>
      <sz val="10"/>
    </font>
    <font>
      <name val="Tahoma"/>
      <color rgb="FFFF0000"/>
      <sz val="10"/>
    </font>
    <font>
      <name val="Tahoma"/>
      <b val="1"/>
      <color theme="1"/>
      <sz val="10"/>
    </font>
    <font/>
    <font>
      <name val="Tahoma"/>
      <i val="1"/>
      <color rgb="FF008000"/>
      <sz val="10"/>
    </font>
    <font>
      <name val="Tahoma"/>
      <color rgb="FF000000"/>
      <sz val="10"/>
    </font>
    <font>
      <name val="Tahoma"/>
      <b val="1"/>
      <i val="1"/>
      <color theme="1"/>
      <sz val="10"/>
    </font>
    <font>
      <name val="Tahoma"/>
      <b val="1"/>
      <color rgb="FF000000"/>
      <sz val="10"/>
    </font>
    <font>
      <name val="Tahoma"/>
      <color theme="1"/>
      <sz val="11"/>
    </font>
    <font>
      <name val="Tahoma"/>
      <b val="1"/>
      <color rgb="FFFFFFFF"/>
      <sz val="10"/>
    </font>
    <font>
      <name val="Tahoma"/>
      <b val="1"/>
      <color rgb="FFFF0000"/>
      <sz val="10"/>
    </font>
    <font>
      <name val="Calibri"/>
      <color rgb="FF000000"/>
      <sz val="11"/>
    </font>
  </fonts>
  <fills count="5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76923C"/>
        <bgColor rgb="FF76923C"/>
      </patternFill>
    </fill>
    <fill>
      <patternFill patternType="solid">
        <fgColor rgb="FFCCFFFF"/>
        <bgColor rgb="FFCCFFFF"/>
      </patternFill>
    </fill>
  </fills>
  <borders count="24">
    <border/>
    <border>
      <left/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right/>
      <top/>
      <bottom/>
    </border>
    <border>
      <left/>
      <right/>
      <bottom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</borders>
  <cellStyleXfs count="1">
    <xf numFmtId="0" fontId="0" fillId="0" borderId="0"/>
  </cellStyleXfs>
  <cellXfs count="54">
    <xf numFmtId="0" fontId="0" fillId="0" borderId="0" applyAlignment="1" pivotButton="0" quotePrefix="0" xfId="0">
      <alignment vertical="bottom"/>
    </xf>
    <xf numFmtId="0" fontId="1" fillId="2" borderId="1" pivotButton="0" quotePrefix="0" xfId="0"/>
    <xf numFmtId="0" fontId="2" fillId="2" borderId="1" pivotButton="0" quotePrefix="0" xfId="0"/>
    <xf numFmtId="0" fontId="3" fillId="2" borderId="2" applyAlignment="1" pivotButton="0" quotePrefix="0" xfId="0">
      <alignment horizontal="center" vertical="top" wrapText="1"/>
    </xf>
    <xf numFmtId="0" fontId="1" fillId="2" borderId="3" applyAlignment="1" pivotButton="0" quotePrefix="0" xfId="0">
      <alignment horizontal="left" vertical="top" wrapText="1"/>
    </xf>
    <xf numFmtId="0" fontId="4" fillId="0" borderId="4" pivotButton="0" quotePrefix="0" xfId="0"/>
    <xf numFmtId="0" fontId="4" fillId="0" borderId="5" pivotButton="0" quotePrefix="0" xfId="0"/>
    <xf numFmtId="0" fontId="5" fillId="2" borderId="1" applyAlignment="1" pivotButton="0" quotePrefix="0" xfId="0">
      <alignment wrapText="1"/>
    </xf>
    <xf numFmtId="0" fontId="5" fillId="2" borderId="1" applyAlignment="1" pivotButton="0" quotePrefix="0" xfId="0">
      <alignment horizontal="left" wrapText="1"/>
    </xf>
    <xf numFmtId="0" fontId="1" fillId="2" borderId="1" applyAlignment="1" pivotButton="0" quotePrefix="0" xfId="0">
      <alignment wrapText="1"/>
    </xf>
    <xf numFmtId="0" fontId="2" fillId="2" borderId="1" applyAlignment="1" pivotButton="0" quotePrefix="0" xfId="0">
      <alignment wrapText="1"/>
    </xf>
    <xf numFmtId="0" fontId="6" fillId="2" borderId="1" pivotButton="0" quotePrefix="0" xfId="0"/>
    <xf numFmtId="0" fontId="3" fillId="2" borderId="6" applyAlignment="1" pivotButton="0" quotePrefix="0" xfId="0">
      <alignment horizontal="center" vertical="top" wrapText="1"/>
    </xf>
    <xf numFmtId="0" fontId="1" fillId="2" borderId="7" applyAlignment="1" pivotButton="0" quotePrefix="0" xfId="0">
      <alignment horizontal="left" vertical="top" wrapText="1"/>
    </xf>
    <xf numFmtId="0" fontId="4" fillId="0" borderId="8" pivotButton="0" quotePrefix="0" xfId="0"/>
    <xf numFmtId="0" fontId="4" fillId="0" borderId="9" pivotButton="0" quotePrefix="0" xfId="0"/>
    <xf numFmtId="0" fontId="7" fillId="2" borderId="6" applyAlignment="1" pivotButton="0" quotePrefix="0" xfId="0">
      <alignment horizontal="center" vertical="top" wrapText="1"/>
    </xf>
    <xf numFmtId="0" fontId="7" fillId="2" borderId="10" applyAlignment="1" pivotButton="0" quotePrefix="0" xfId="0">
      <alignment horizontal="center" vertical="top" wrapText="1"/>
    </xf>
    <xf numFmtId="0" fontId="7" fillId="2" borderId="11" applyAlignment="1" pivotButton="0" quotePrefix="0" xfId="0">
      <alignment horizontal="center" vertical="top" wrapText="1"/>
    </xf>
    <xf numFmtId="0" fontId="8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wrapText="1"/>
    </xf>
    <xf numFmtId="0" fontId="2" fillId="2" borderId="1" applyAlignment="1" pivotButton="0" quotePrefix="0" xfId="0">
      <alignment horizontal="center" wrapText="1"/>
    </xf>
    <xf numFmtId="0" fontId="9" fillId="2" borderId="10" applyAlignment="1" pivotButton="0" quotePrefix="0" xfId="0">
      <alignment horizontal="center" vertical="top" wrapText="1"/>
    </xf>
    <xf numFmtId="0" fontId="6" fillId="2" borderId="1" applyAlignment="1" pivotButton="0" quotePrefix="0" xfId="0">
      <alignment horizontal="center" vertical="center" wrapText="1"/>
    </xf>
    <xf numFmtId="0" fontId="7" fillId="2" borderId="12" applyAlignment="1" pivotButton="0" quotePrefix="0" xfId="0">
      <alignment horizontal="center" vertical="top" wrapText="1"/>
    </xf>
    <xf numFmtId="0" fontId="9" fillId="2" borderId="13" applyAlignment="1" pivotButton="0" quotePrefix="0" xfId="0">
      <alignment horizontal="center" vertical="top" wrapText="1"/>
    </xf>
    <xf numFmtId="0" fontId="6" fillId="2" borderId="1" applyAlignment="1" pivotButton="0" quotePrefix="0" xfId="0">
      <alignment horizontal="center" wrapText="1"/>
    </xf>
    <xf numFmtId="0" fontId="10" fillId="3" borderId="10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0" fontId="3" fillId="4" borderId="14" applyAlignment="1" pivotButton="0" quotePrefix="0" xfId="0">
      <alignment horizontal="left" vertical="center"/>
    </xf>
    <xf numFmtId="0" fontId="3" fillId="4" borderId="14" applyAlignment="1" pivotButton="0" quotePrefix="0" xfId="0">
      <alignment horizontal="left" vertical="center"/>
    </xf>
    <xf numFmtId="0" fontId="3" fillId="4" borderId="15" applyAlignment="1" pivotButton="0" quotePrefix="0" xfId="0">
      <alignment horizontal="left" vertical="center"/>
    </xf>
    <xf numFmtId="0" fontId="3" fillId="4" borderId="16" applyAlignment="1" pivotButton="0" quotePrefix="0" xfId="0">
      <alignment horizontal="left" vertical="center"/>
    </xf>
    <xf numFmtId="0" fontId="11" fillId="2" borderId="1" applyAlignment="1" pivotButton="0" quotePrefix="0" xfId="0">
      <alignment horizontal="left" vertical="center"/>
    </xf>
    <xf numFmtId="0" fontId="12" fillId="0" borderId="10" applyAlignment="1" pivotButton="0" quotePrefix="0" xfId="0">
      <alignment vertical="top" wrapText="1"/>
    </xf>
    <xf numFmtId="0" fontId="1" fillId="2" borderId="10" applyAlignment="1" pivotButton="0" quotePrefix="0" xfId="0">
      <alignment vertical="top" wrapText="1"/>
    </xf>
    <xf numFmtId="164" fontId="1" fillId="2" borderId="10" applyAlignment="1" pivotButton="0" quotePrefix="0" xfId="0">
      <alignment vertical="top" wrapText="1"/>
    </xf>
    <xf numFmtId="0" fontId="1" fillId="2" borderId="10" applyAlignment="1" pivotButton="0" quotePrefix="0" xfId="0">
      <alignment vertical="top" wrapText="1"/>
    </xf>
    <xf numFmtId="0" fontId="6" fillId="2" borderId="17" applyAlignment="1" pivotButton="0" quotePrefix="0" xfId="0">
      <alignment vertical="top"/>
    </xf>
    <xf numFmtId="0" fontId="2" fillId="2" borderId="1" applyAlignment="1" pivotButton="0" quotePrefix="0" xfId="0">
      <alignment vertical="top" wrapText="1"/>
    </xf>
    <xf numFmtId="0" fontId="6" fillId="2" borderId="1" applyAlignment="1" pivotButton="0" quotePrefix="0" xfId="0">
      <alignment vertical="top"/>
    </xf>
    <xf numFmtId="0" fontId="1" fillId="2" borderId="17" pivotButton="0" quotePrefix="0" xfId="0"/>
    <xf numFmtId="0" fontId="3" fillId="4" borderId="10" applyAlignment="1" pivotButton="0" quotePrefix="0" xfId="0">
      <alignment horizontal="left" vertical="center"/>
    </xf>
    <xf numFmtId="0" fontId="3" fillId="4" borderId="10" applyAlignment="1" pivotButton="0" quotePrefix="0" xfId="0">
      <alignment horizontal="left" vertical="center"/>
    </xf>
    <xf numFmtId="0" fontId="6" fillId="2" borderId="17" pivotButton="0" quotePrefix="0" xfId="0"/>
    <xf numFmtId="0" fontId="12" fillId="0" borderId="10" applyAlignment="1" pivotButton="0" quotePrefix="1" xfId="0">
      <alignment vertical="top" wrapText="1"/>
    </xf>
    <xf numFmtId="0" fontId="1" fillId="2" borderId="18" pivotButton="0" quotePrefix="0" xfId="0"/>
    <xf numFmtId="0" fontId="0" fillId="0" borderId="0" pivotButton="0" quotePrefix="0" xfId="0"/>
    <xf numFmtId="0" fontId="1" fillId="2" borderId="19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1" fillId="2" borderId="11" applyAlignment="1" pivotButton="0" quotePrefix="0" xfId="0">
      <alignment horizontal="left" vertical="top" wrapText="1"/>
    </xf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235"/>
  <sheetViews>
    <sheetView workbookViewId="0">
      <selection activeCell="A1" sqref="A1"/>
    </sheetView>
  </sheetViews>
  <sheetFormatPr baseColWidth="8" defaultColWidth="12.63" defaultRowHeight="15.75" customHeight="1" outlineLevelRow="1"/>
  <cols>
    <col width="17" customWidth="1" style="47" min="1" max="1"/>
    <col width="34.5" customWidth="1" style="47" min="2" max="2"/>
    <col width="34.13" customWidth="1" style="47" min="3" max="3"/>
    <col width="34.63" customWidth="1" style="47" min="4" max="4"/>
    <col width="28.38" customWidth="1" style="47" min="5" max="5"/>
    <col width="9.380000000000001" customWidth="1" style="47" min="6" max="6"/>
    <col outlineLevel="1" width="10.63" customWidth="1" style="47" min="7" max="7"/>
    <col outlineLevel="1" width="7" customWidth="1" style="47" min="8" max="8"/>
    <col width="9.380000000000001" customWidth="1" style="47" min="9" max="9"/>
    <col outlineLevel="1" width="10.63" customWidth="1" style="47" min="10" max="10"/>
    <col outlineLevel="1" width="10.88" customWidth="1" style="47" min="11" max="11"/>
    <col width="9.380000000000001" customWidth="1" style="47" min="12" max="12"/>
    <col outlineLevel="1" width="10.63" customWidth="1" style="47" min="13" max="13"/>
    <col outlineLevel="1" width="11.13" customWidth="1" style="47" min="14" max="14"/>
    <col width="28.63" customWidth="1" style="47" min="15" max="15"/>
    <col width="10.13" customWidth="1" style="47" min="16" max="16"/>
    <col width="8.130000000000001" customWidth="1" style="47" min="17" max="17"/>
    <col hidden="1" width="7.63" customWidth="1" style="47" min="18" max="18"/>
    <col width="9" customWidth="1" style="47" min="19" max="2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2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3" t="inlineStr">
        <is>
          <t>Feature</t>
        </is>
      </c>
      <c r="B2" s="48" t="inlineStr">
        <is>
          <t>FE-15_View Flood Alert History</t>
        </is>
      </c>
      <c r="C2" s="49" t="n"/>
      <c r="D2" s="49" t="n"/>
      <c r="E2" s="50" t="n"/>
      <c r="F2" s="7" t="n"/>
      <c r="G2" s="8" t="n"/>
      <c r="H2" s="9" t="n"/>
      <c r="I2" s="7" t="n"/>
      <c r="J2" s="8" t="n"/>
      <c r="K2" s="9" t="n"/>
      <c r="L2" s="7" t="n"/>
      <c r="M2" s="8" t="n"/>
      <c r="N2" s="9" t="n"/>
      <c r="O2" s="9" t="n"/>
      <c r="P2" s="9" t="n"/>
      <c r="Q2" s="10" t="n"/>
      <c r="R2" s="11" t="inlineStr">
        <is>
          <t>Passed</t>
        </is>
      </c>
      <c r="S2" s="11" t="n"/>
      <c r="T2" s="11" t="n"/>
      <c r="U2" s="11" t="n"/>
      <c r="V2" s="11" t="n"/>
      <c r="W2" s="11" t="n"/>
      <c r="X2" s="11" t="n"/>
      <c r="Y2" s="11" t="n"/>
      <c r="Z2" s="11" t="n"/>
    </row>
    <row r="3">
      <c r="A3" s="12" t="inlineStr">
        <is>
          <t>Test requirement</t>
        </is>
      </c>
      <c r="B3" s="51" t="n"/>
      <c r="C3" s="52" t="n"/>
      <c r="D3" s="52" t="n"/>
      <c r="E3" s="53" t="n"/>
      <c r="F3" s="7" t="n"/>
      <c r="G3" s="8" t="n"/>
      <c r="H3" s="9" t="n"/>
      <c r="I3" s="7" t="n"/>
      <c r="J3" s="8" t="n"/>
      <c r="K3" s="9" t="n"/>
      <c r="L3" s="7" t="n"/>
      <c r="M3" s="8" t="n"/>
      <c r="N3" s="9" t="n"/>
      <c r="O3" s="9" t="n"/>
      <c r="P3" s="9" t="n"/>
      <c r="Q3" s="10" t="n"/>
      <c r="R3" s="11" t="inlineStr">
        <is>
          <t>Failed</t>
        </is>
      </c>
      <c r="S3" s="11" t="n"/>
      <c r="T3" s="11" t="n"/>
      <c r="U3" s="11" t="n"/>
      <c r="V3" s="11" t="n"/>
      <c r="W3" s="11" t="n"/>
      <c r="X3" s="11" t="n"/>
      <c r="Y3" s="11" t="n"/>
      <c r="Z3" s="11" t="n"/>
    </row>
    <row r="4">
      <c r="A4" s="12" t="inlineStr">
        <is>
          <t>Number of TCs</t>
        </is>
      </c>
      <c r="B4" s="51">
        <f>COUNTA(A13:A1016)</f>
        <v/>
      </c>
      <c r="C4" s="52" t="n"/>
      <c r="D4" s="52" t="n"/>
      <c r="E4" s="53" t="n"/>
      <c r="F4" s="7" t="n"/>
      <c r="G4" s="8" t="n"/>
      <c r="H4" s="9" t="n"/>
      <c r="I4" s="7" t="n"/>
      <c r="J4" s="8" t="n"/>
      <c r="K4" s="9" t="n"/>
      <c r="L4" s="7" t="n"/>
      <c r="M4" s="8" t="n"/>
      <c r="N4" s="9" t="n"/>
      <c r="O4" s="9" t="n"/>
      <c r="P4" s="9" t="n"/>
      <c r="Q4" s="10" t="n"/>
      <c r="R4" s="11" t="inlineStr">
        <is>
          <t>Pending</t>
        </is>
      </c>
      <c r="S4" s="11" t="n"/>
      <c r="T4" s="11" t="n"/>
      <c r="U4" s="11" t="n"/>
      <c r="V4" s="11" t="n"/>
      <c r="W4" s="11" t="n"/>
      <c r="X4" s="11" t="n"/>
      <c r="Y4" s="11" t="n"/>
      <c r="Z4" s="11" t="n"/>
    </row>
    <row r="5">
      <c r="A5" s="16" t="inlineStr">
        <is>
          <t>Testing Round</t>
        </is>
      </c>
      <c r="B5" s="17" t="inlineStr">
        <is>
          <t>Passed</t>
        </is>
      </c>
      <c r="C5" s="17" t="inlineStr">
        <is>
          <t>Failed</t>
        </is>
      </c>
      <c r="D5" s="17" t="inlineStr">
        <is>
          <t>Pending</t>
        </is>
      </c>
      <c r="E5" s="18" t="inlineStr">
        <is>
          <t>N/A</t>
        </is>
      </c>
      <c r="F5" s="19" t="n"/>
      <c r="G5" s="19" t="n"/>
      <c r="H5" s="20" t="n"/>
      <c r="I5" s="19" t="n"/>
      <c r="J5" s="19" t="n"/>
      <c r="K5" s="20" t="n"/>
      <c r="L5" s="19" t="n"/>
      <c r="M5" s="19" t="n"/>
      <c r="N5" s="20" t="n"/>
      <c r="O5" s="20" t="n"/>
      <c r="P5" s="20" t="n"/>
      <c r="Q5" s="21" t="n"/>
      <c r="R5" s="11" t="inlineStr">
        <is>
          <t>N/A</t>
        </is>
      </c>
      <c r="S5" s="11" t="n"/>
      <c r="T5" s="11" t="n"/>
      <c r="U5" s="11" t="n"/>
      <c r="V5" s="11" t="n"/>
      <c r="W5" s="11" t="n"/>
      <c r="X5" s="11" t="n"/>
      <c r="Y5" s="11" t="n"/>
      <c r="Z5" s="11" t="n"/>
    </row>
    <row r="6">
      <c r="A6" s="16" t="inlineStr">
        <is>
          <t>Round 1</t>
        </is>
      </c>
      <c r="B6" s="22">
        <f>COUNTIF($F10:$F1016,B5)</f>
        <v/>
      </c>
      <c r="C6" s="22">
        <f>COUNTIF($F10:$F1016,C5)</f>
        <v/>
      </c>
      <c r="D6" s="22">
        <f>COUNTIF($F10:$F1016,D5)</f>
        <v/>
      </c>
      <c r="E6" s="22">
        <f>COUNTIF($F10:$F1016,E5)</f>
        <v/>
      </c>
      <c r="F6" s="23" t="n"/>
      <c r="G6" s="23" t="n"/>
      <c r="H6" s="20" t="n"/>
      <c r="I6" s="23" t="n"/>
      <c r="J6" s="23" t="n"/>
      <c r="K6" s="20" t="n"/>
      <c r="L6" s="23" t="n"/>
      <c r="M6" s="23" t="n"/>
      <c r="N6" s="20" t="n"/>
      <c r="O6" s="20" t="n"/>
      <c r="P6" s="20" t="n"/>
      <c r="Q6" s="2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</row>
    <row r="7">
      <c r="A7" s="16" t="inlineStr">
        <is>
          <t>Round 2</t>
        </is>
      </c>
      <c r="B7" s="22">
        <f>COUNTIF($I10:$I1016,B5)</f>
        <v/>
      </c>
      <c r="C7" s="22">
        <f>COUNTIF($I10:$I1016,C5)</f>
        <v/>
      </c>
      <c r="D7" s="22">
        <f>COUNTIF($I10:$I1016,D5)</f>
        <v/>
      </c>
      <c r="E7" s="22">
        <f>COUNTIF($I10:$I1016,E5)</f>
        <v/>
      </c>
      <c r="F7" s="23" t="n"/>
      <c r="G7" s="23" t="n"/>
      <c r="H7" s="20" t="n"/>
      <c r="I7" s="23" t="n"/>
      <c r="J7" s="23" t="n"/>
      <c r="K7" s="20" t="n"/>
      <c r="L7" s="23" t="n"/>
      <c r="M7" s="23" t="n"/>
      <c r="N7" s="20" t="n"/>
      <c r="O7" s="20" t="n"/>
      <c r="P7" s="20" t="n"/>
      <c r="Q7" s="2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</row>
    <row r="8">
      <c r="A8" s="24" t="inlineStr">
        <is>
          <t>Round 3</t>
        </is>
      </c>
      <c r="B8" s="25">
        <f>COUNTIF($L10:$L1016,B5)</f>
        <v/>
      </c>
      <c r="C8" s="25">
        <f>COUNTIF($L10:$L1016,C5)</f>
        <v/>
      </c>
      <c r="D8" s="25">
        <f>COUNTIF($L10:$L1016,D5)</f>
        <v/>
      </c>
      <c r="E8" s="25">
        <f>COUNTIF($L10:$L1016,E5)</f>
        <v/>
      </c>
      <c r="F8" s="23" t="n"/>
      <c r="G8" s="23" t="n"/>
      <c r="H8" s="20" t="n"/>
      <c r="I8" s="23" t="n"/>
      <c r="J8" s="23" t="n"/>
      <c r="K8" s="20" t="n"/>
      <c r="L8" s="23" t="n"/>
      <c r="M8" s="23" t="n"/>
      <c r="N8" s="20" t="n"/>
      <c r="O8" s="20" t="n"/>
      <c r="P8" s="20" t="n"/>
      <c r="Q8" s="2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</row>
    <row r="9">
      <c r="A9" s="20" t="n"/>
      <c r="B9" s="20" t="n"/>
      <c r="C9" s="20" t="n"/>
      <c r="D9" s="20" t="n"/>
      <c r="E9" s="20" t="n"/>
      <c r="F9" s="26" t="n"/>
      <c r="G9" s="20" t="n"/>
      <c r="H9" s="20" t="n"/>
      <c r="I9" s="26" t="n"/>
      <c r="J9" s="20" t="n"/>
      <c r="K9" s="20" t="n"/>
      <c r="L9" s="26" t="n"/>
      <c r="M9" s="20" t="n"/>
      <c r="N9" s="20" t="n"/>
      <c r="O9" s="20" t="n"/>
      <c r="P9" s="20" t="n"/>
      <c r="Q9" s="2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</row>
    <row r="10">
      <c r="A10" s="27" t="inlineStr">
        <is>
          <t>Test Case ID</t>
        </is>
      </c>
      <c r="B10" s="27" t="inlineStr">
        <is>
          <t>Test Case Description</t>
        </is>
      </c>
      <c r="C10" s="27" t="inlineStr">
        <is>
          <t>Test Case Procedure</t>
        </is>
      </c>
      <c r="D10" s="27" t="inlineStr">
        <is>
          <t>Expected Results</t>
        </is>
      </c>
      <c r="E10" s="27" t="inlineStr">
        <is>
          <t>Pre-conditions</t>
        </is>
      </c>
      <c r="F10" s="27" t="inlineStr">
        <is>
          <t>Round 1</t>
        </is>
      </c>
      <c r="G10" s="27" t="inlineStr">
        <is>
          <t>Test date</t>
        </is>
      </c>
      <c r="H10" s="27" t="inlineStr">
        <is>
          <t>Tester</t>
        </is>
      </c>
      <c r="I10" s="27" t="inlineStr">
        <is>
          <t>Round 2</t>
        </is>
      </c>
      <c r="J10" s="27" t="inlineStr">
        <is>
          <t>Test date</t>
        </is>
      </c>
      <c r="K10" s="27" t="inlineStr">
        <is>
          <t>Tester</t>
        </is>
      </c>
      <c r="L10" s="27" t="inlineStr">
        <is>
          <t>Round 3</t>
        </is>
      </c>
      <c r="M10" s="27" t="inlineStr">
        <is>
          <t>Test date</t>
        </is>
      </c>
      <c r="N10" s="27" t="inlineStr">
        <is>
          <t>Tester</t>
        </is>
      </c>
      <c r="O10" s="27" t="inlineStr">
        <is>
          <t>Note</t>
        </is>
      </c>
      <c r="P10" s="11" t="n"/>
      <c r="Q10" s="28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</row>
    <row r="11">
      <c r="A11" s="30" t="inlineStr">
        <is>
          <t>View Alert History List</t>
        </is>
      </c>
      <c r="B11" s="30" t="n"/>
      <c r="C11" s="31" t="n"/>
      <c r="D11" s="31" t="n"/>
      <c r="E11" s="31" t="n"/>
      <c r="F11" s="31" t="n"/>
      <c r="G11" s="31" t="n"/>
      <c r="H11" s="31" t="n"/>
      <c r="I11" s="31" t="n"/>
      <c r="J11" s="31" t="n"/>
      <c r="K11" s="31" t="n"/>
      <c r="L11" s="31" t="n"/>
      <c r="M11" s="31" t="n"/>
      <c r="N11" s="31" t="n"/>
      <c r="O11" s="32" t="n"/>
      <c r="P11" s="11" t="n"/>
      <c r="Q11" s="33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</row>
    <row r="12" outlineLevel="1" s="47">
      <c r="A12" s="34" t="inlineStr">
        <is>
          <t>TC-01</t>
        </is>
      </c>
      <c r="B12" s="34" t="inlineStr">
        <is>
          <t>Verify Alert History — Happy Path.</t>
        </is>
      </c>
      <c r="C12" s="34" t="inlineStr">
        <is>
          <t>1. Log in.
 2. Navigate to Alert History.
 3. Wait for list to load.</t>
        </is>
      </c>
      <c r="D12" s="34" t="inlineStr">
        <is>
          <t>HTTP 200 OK. List displayed with station name, severity, water level, timestamp, and status (Open/Resolved).</t>
        </is>
      </c>
      <c r="E12" s="34" t="inlineStr">
        <is>
          <t>User authenticated. Data exists.</t>
        </is>
      </c>
      <c r="F12" s="37" t="inlineStr">
        <is>
          <t>Passed</t>
        </is>
      </c>
      <c r="G12" s="36" t="n">
        <v>46086</v>
      </c>
      <c r="H12" s="37" t="inlineStr">
        <is>
          <t>HuyDQ</t>
        </is>
      </c>
      <c r="I12" s="37" t="inlineStr">
        <is>
          <t>Passed</t>
        </is>
      </c>
      <c r="J12" s="36" t="n">
        <v>46116</v>
      </c>
      <c r="K12" s="37" t="inlineStr">
        <is>
          <t>HuyDQ</t>
        </is>
      </c>
      <c r="L12" s="37" t="n"/>
      <c r="M12" s="37" t="n"/>
      <c r="N12" s="37" t="n"/>
      <c r="O12" s="37" t="n"/>
      <c r="P12" s="38" t="n"/>
      <c r="Q12" s="39" t="n"/>
      <c r="R12" s="40" t="n"/>
      <c r="S12" s="40" t="n"/>
      <c r="T12" s="40" t="n"/>
      <c r="U12" s="40" t="n"/>
      <c r="V12" s="40" t="n"/>
      <c r="W12" s="40" t="n"/>
      <c r="X12" s="40" t="n"/>
      <c r="Y12" s="40" t="n"/>
      <c r="Z12" s="40" t="n"/>
    </row>
    <row r="13" outlineLevel="1" s="47">
      <c r="A13" s="34" t="inlineStr">
        <is>
          <t>TC-02</t>
        </is>
      </c>
      <c r="B13" s="34" t="inlineStr">
        <is>
          <t>Verify Alert History — Empty State.</t>
        </is>
      </c>
      <c r="C13" s="34" t="inlineStr">
        <is>
          <t>1. Login with account having no history.
 2. Navigate to Alert History.</t>
        </is>
      </c>
      <c r="D13" s="34" t="inlineStr">
        <is>
          <t>HTTP 200 OK. Empty array returned. UI shows 'No alert history found'.</t>
        </is>
      </c>
      <c r="E13" s="34" t="inlineStr">
        <is>
          <t>No alerts exist.</t>
        </is>
      </c>
      <c r="F13" s="37" t="inlineStr">
        <is>
          <t>Passed</t>
        </is>
      </c>
      <c r="G13" s="36" t="n">
        <v>46086</v>
      </c>
      <c r="H13" s="37" t="inlineStr">
        <is>
          <t>HuyDQ</t>
        </is>
      </c>
      <c r="I13" s="37" t="inlineStr">
        <is>
          <t>Passed</t>
        </is>
      </c>
      <c r="J13" s="36" t="n">
        <v>46116</v>
      </c>
      <c r="K13" s="37" t="inlineStr">
        <is>
          <t>HuyDQ</t>
        </is>
      </c>
      <c r="L13" s="37" t="n"/>
      <c r="M13" s="37" t="n"/>
      <c r="N13" s="37" t="n"/>
      <c r="O13" s="37" t="n"/>
      <c r="P13" s="38" t="n"/>
      <c r="Q13" s="39" t="n"/>
      <c r="R13" s="40" t="n"/>
      <c r="S13" s="40" t="n"/>
      <c r="T13" s="40" t="n"/>
      <c r="U13" s="40" t="n"/>
      <c r="V13" s="40" t="n"/>
      <c r="W13" s="40" t="n"/>
      <c r="X13" s="40" t="n"/>
      <c r="Y13" s="40" t="n"/>
      <c r="Z13" s="40" t="n"/>
    </row>
    <row r="14" outlineLevel="1" s="47">
      <c r="A14" s="34" t="inlineStr">
        <is>
          <t>TC-03</t>
        </is>
      </c>
      <c r="B14" s="34" t="inlineStr">
        <is>
          <t>Verify Card Displays All Required Fields.</t>
        </is>
      </c>
      <c r="C14" s="34" t="inlineStr">
        <is>
          <t>1. Inspect alert card.
 2. Cross-check with API.</t>
        </is>
      </c>
      <c r="D14" s="34" t="inlineStr">
        <is>
          <t>Correctly displays: station name/code, severity badge, water level (cm), message, triggeredAt, status, and notification list.</t>
        </is>
      </c>
      <c r="E14" s="34" t="inlineStr">
        <is>
          <t>Data exists.</t>
        </is>
      </c>
      <c r="F14" s="37" t="inlineStr">
        <is>
          <t>Passed</t>
        </is>
      </c>
      <c r="G14" s="36" t="n">
        <v>46086</v>
      </c>
      <c r="H14" s="37" t="inlineStr">
        <is>
          <t>HuyDQ</t>
        </is>
      </c>
      <c r="I14" s="37" t="inlineStr">
        <is>
          <t>Passed</t>
        </is>
      </c>
      <c r="J14" s="36" t="n">
        <v>46116</v>
      </c>
      <c r="K14" s="37" t="inlineStr">
        <is>
          <t>HuyDQ</t>
        </is>
      </c>
      <c r="L14" s="37" t="n"/>
      <c r="M14" s="37" t="n"/>
      <c r="N14" s="37" t="n"/>
      <c r="O14" s="37" t="n"/>
      <c r="P14" s="38" t="n"/>
      <c r="Q14" s="39" t="n"/>
      <c r="R14" s="40" t="n"/>
      <c r="S14" s="40" t="n"/>
      <c r="T14" s="40" t="n"/>
      <c r="U14" s="40" t="n"/>
      <c r="V14" s="40" t="n"/>
      <c r="W14" s="40" t="n"/>
      <c r="X14" s="40" t="n"/>
      <c r="Y14" s="40" t="n"/>
      <c r="Z14" s="40" t="n"/>
    </row>
    <row r="15" outlineLevel="1" s="47">
      <c r="A15" s="34" t="inlineStr">
        <is>
          <t>TC-04</t>
        </is>
      </c>
      <c r="B15" s="34" t="inlineStr">
        <is>
          <t>Verify Loading State.</t>
        </is>
      </c>
      <c r="C15" s="34" t="inlineStr">
        <is>
          <t>1. Open screen.
 2. Observe fetch.</t>
        </is>
      </c>
      <c r="D15" s="34" t="inlineStr">
        <is>
          <t>Loading indicator or skeleton screen is shown during fetch.</t>
        </is>
      </c>
      <c r="E15" s="34" t="inlineStr">
        <is>
          <t>None.</t>
        </is>
      </c>
      <c r="F15" s="37" t="inlineStr">
        <is>
          <t>Passed</t>
        </is>
      </c>
      <c r="G15" s="36" t="n">
        <v>46086</v>
      </c>
      <c r="H15" s="37" t="inlineStr">
        <is>
          <t>HuyDQ</t>
        </is>
      </c>
      <c r="I15" s="37" t="inlineStr">
        <is>
          <t>Passed</t>
        </is>
      </c>
      <c r="J15" s="36" t="n">
        <v>46116</v>
      </c>
      <c r="K15" s="37" t="inlineStr">
        <is>
          <t>HuyDQ</t>
        </is>
      </c>
      <c r="L15" s="37" t="n"/>
      <c r="M15" s="37" t="n"/>
      <c r="N15" s="37" t="n"/>
      <c r="O15" s="37" t="n"/>
      <c r="P15" s="41" t="n"/>
      <c r="Q15" s="39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outlineLevel="1" s="47">
      <c r="A16" s="34" t="inlineStr">
        <is>
          <t>TC-05</t>
        </is>
      </c>
      <c r="B16" s="34" t="inlineStr">
        <is>
          <t>Open alerts at top.</t>
        </is>
      </c>
      <c r="C16" s="34" t="inlineStr">
        <is>
          <t>1. Observe list order.</t>
        </is>
      </c>
      <c r="D16" s="34" t="inlineStr">
        <is>
          <t>Open (unresolved) alerts are displayed first.</t>
        </is>
      </c>
      <c r="E16" s="34" t="inlineStr">
        <is>
          <t>Both open and resolved alerts exist.</t>
        </is>
      </c>
      <c r="F16" s="37" t="inlineStr">
        <is>
          <t>Passed</t>
        </is>
      </c>
      <c r="G16" s="36" t="n">
        <v>46086</v>
      </c>
      <c r="H16" s="37" t="inlineStr">
        <is>
          <t>HuyDQ</t>
        </is>
      </c>
      <c r="I16" s="37" t="inlineStr">
        <is>
          <t>Passed</t>
        </is>
      </c>
      <c r="J16" s="36" t="n">
        <v>46116</v>
      </c>
      <c r="K16" s="37" t="inlineStr">
        <is>
          <t>HuyDQ</t>
        </is>
      </c>
      <c r="L16" s="37" t="n"/>
      <c r="M16" s="37" t="n"/>
      <c r="N16" s="37" t="n"/>
      <c r="O16" s="37" t="n"/>
      <c r="P16" s="41" t="n"/>
      <c r="Q16" s="39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outlineLevel="1" s="47">
      <c r="A17" s="34" t="inlineStr">
        <is>
          <t>TC-06</t>
        </is>
      </c>
      <c r="B17" s="34" t="inlineStr">
        <is>
          <t>resolvedAt timestamp.</t>
        </is>
      </c>
      <c r="C17" s="34" t="inlineStr">
        <is>
          <t>1. Locate resolved alert card.</t>
        </is>
      </c>
      <c r="D17" s="34" t="inlineStr">
        <is>
          <t>Shows correct resolvedAt timestamp in local timezone.</t>
        </is>
      </c>
      <c r="E17" s="34" t="inlineStr">
        <is>
          <t>Resolved alert exists.</t>
        </is>
      </c>
      <c r="F17" s="37" t="inlineStr">
        <is>
          <t>Passed</t>
        </is>
      </c>
      <c r="G17" s="36" t="n">
        <v>46086</v>
      </c>
      <c r="H17" s="37" t="inlineStr">
        <is>
          <t>HuyDQ</t>
        </is>
      </c>
      <c r="I17" s="37" t="inlineStr">
        <is>
          <t>Passed</t>
        </is>
      </c>
      <c r="J17" s="36" t="n">
        <v>46116</v>
      </c>
      <c r="K17" s="37" t="inlineStr">
        <is>
          <t>HuyDQ</t>
        </is>
      </c>
      <c r="L17" s="37" t="n"/>
      <c r="M17" s="37" t="n"/>
      <c r="N17" s="37" t="n"/>
      <c r="O17" s="37" t="n"/>
      <c r="P17" s="41" t="n"/>
      <c r="Q17" s="39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outlineLevel="1" s="47">
      <c r="A18" s="34" t="inlineStr">
        <is>
          <t>TC-07</t>
        </is>
      </c>
      <c r="B18" s="34" t="inlineStr">
        <is>
          <t>Notification channel icons.</t>
        </is>
      </c>
      <c r="C18" s="34" t="inlineStr">
        <is>
          <t>1. Inspect notification list on card.</t>
        </is>
      </c>
      <c r="D18" s="34" t="inlineStr">
        <is>
          <t>Icons for Push, Email, SMS shown correctly with status (sent/failed).</t>
        </is>
      </c>
      <c r="E18" s="34" t="inlineStr">
        <is>
          <t>Alerts with multiple channels exist.</t>
        </is>
      </c>
      <c r="F18" s="37" t="inlineStr">
        <is>
          <t>Passed</t>
        </is>
      </c>
      <c r="G18" s="36" t="n">
        <v>46086</v>
      </c>
      <c r="H18" s="37" t="inlineStr">
        <is>
          <t>HuyDQ</t>
        </is>
      </c>
      <c r="I18" s="37" t="inlineStr">
        <is>
          <t>Passed</t>
        </is>
      </c>
      <c r="J18" s="36" t="n">
        <v>46116</v>
      </c>
      <c r="K18" s="37" t="inlineStr">
        <is>
          <t>HuyDQ</t>
        </is>
      </c>
      <c r="L18" s="37" t="n"/>
      <c r="M18" s="37" t="n"/>
      <c r="N18" s="37" t="n"/>
      <c r="O18" s="37" t="n"/>
      <c r="P18" s="41" t="n"/>
      <c r="Q18" s="39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outlineLevel="1" s="47">
      <c r="A19" s="34" t="inlineStr">
        <is>
          <t>TC-08</t>
        </is>
      </c>
      <c r="B19" s="34" t="inlineStr">
        <is>
          <t>Water level unit (cm).</t>
        </is>
      </c>
      <c r="C19" s="34" t="inlineStr">
        <is>
          <t>1. Check water level field.</t>
        </is>
      </c>
      <c r="D19" s="34" t="inlineStr">
        <is>
          <t>Displayed with unit 'cm' (e.g., '250 cm'). Consistent across cards.</t>
        </is>
      </c>
      <c r="E19" s="34" t="inlineStr">
        <is>
          <t>Data exists.</t>
        </is>
      </c>
      <c r="F19" s="37" t="inlineStr">
        <is>
          <t>Passed</t>
        </is>
      </c>
      <c r="G19" s="36" t="n">
        <v>46086</v>
      </c>
      <c r="H19" s="37" t="inlineStr">
        <is>
          <t>HuyDQ</t>
        </is>
      </c>
      <c r="I19" s="37" t="inlineStr">
        <is>
          <t>Passed</t>
        </is>
      </c>
      <c r="J19" s="36" t="n">
        <v>46116</v>
      </c>
      <c r="K19" s="37" t="inlineStr">
        <is>
          <t>HuyDQ</t>
        </is>
      </c>
      <c r="L19" s="37" t="n"/>
      <c r="M19" s="37" t="n"/>
      <c r="N19" s="37" t="n"/>
      <c r="O19" s="37" t="n"/>
      <c r="P19" s="41" t="n"/>
      <c r="Q19" s="39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outlineLevel="1" s="47">
      <c r="A20" s="34" t="inlineStr">
        <is>
          <t>TC-09</t>
        </is>
      </c>
      <c r="B20" s="34" t="inlineStr">
        <is>
          <t>Pull-to-refresh.</t>
        </is>
      </c>
      <c r="C20" s="34" t="inlineStr">
        <is>
          <t>1. Pull down to refresh.</t>
        </is>
      </c>
      <c r="D20" s="34" t="inlineStr">
        <is>
          <t>Indicator appears. List updated with latest alerts.</t>
        </is>
      </c>
      <c r="E20" s="34" t="inlineStr">
        <is>
          <t>None.</t>
        </is>
      </c>
      <c r="F20" s="37" t="inlineStr">
        <is>
          <t>Passed</t>
        </is>
      </c>
      <c r="G20" s="36" t="n">
        <v>46086</v>
      </c>
      <c r="H20" s="37" t="inlineStr">
        <is>
          <t>HuyDQ</t>
        </is>
      </c>
      <c r="I20" s="37" t="inlineStr">
        <is>
          <t>Passed</t>
        </is>
      </c>
      <c r="J20" s="36" t="n">
        <v>46116</v>
      </c>
      <c r="K20" s="37" t="inlineStr">
        <is>
          <t>HuyDQ</t>
        </is>
      </c>
      <c r="L20" s="37" t="n"/>
      <c r="M20" s="37" t="n"/>
      <c r="N20" s="37" t="n"/>
      <c r="O20" s="37" t="n"/>
      <c r="P20" s="41" t="n"/>
      <c r="Q20" s="39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43" t="inlineStr">
        <is>
          <t>Filtering</t>
        </is>
      </c>
      <c r="B21" s="43" t="n"/>
      <c r="C21" s="43" t="n"/>
      <c r="D21" s="43" t="n"/>
      <c r="E21" s="43" t="n"/>
      <c r="F21" s="43" t="n"/>
      <c r="G21" s="43" t="n"/>
      <c r="H21" s="43" t="n"/>
      <c r="I21" s="43" t="n"/>
      <c r="J21" s="43" t="n"/>
      <c r="K21" s="43" t="n"/>
      <c r="L21" s="43" t="n"/>
      <c r="M21" s="43" t="n"/>
      <c r="N21" s="43" t="n"/>
      <c r="O21" s="43" t="n"/>
      <c r="P21" s="44" t="n"/>
      <c r="Q21" s="33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</row>
    <row r="22" outlineLevel="1" s="47">
      <c r="A22" s="34" t="inlineStr">
        <is>
          <t>TC-01</t>
        </is>
      </c>
      <c r="B22" s="34" t="inlineStr">
        <is>
          <t>Filter by Area ID.</t>
        </is>
      </c>
      <c r="C22" s="34" t="inlineStr">
        <is>
          <t>1. Apply areaId filter.</t>
        </is>
      </c>
      <c r="D22" s="34" t="inlineStr">
        <is>
          <t>HTTP 200 OK. Only alerts from specific area shown.</t>
        </is>
      </c>
      <c r="E22" s="34" t="inlineStr">
        <is>
          <t>Multiple areas exist.</t>
        </is>
      </c>
      <c r="F22" s="37" t="inlineStr">
        <is>
          <t>Passed</t>
        </is>
      </c>
      <c r="G22" s="36" t="n">
        <v>46145</v>
      </c>
      <c r="H22" s="37" t="inlineStr">
        <is>
          <t>HuyDQ</t>
        </is>
      </c>
      <c r="I22" s="37" t="inlineStr">
        <is>
          <t>Passed</t>
        </is>
      </c>
      <c r="J22" s="36" t="n">
        <v>46116</v>
      </c>
      <c r="K22" s="37" t="inlineStr">
        <is>
          <t>HuyDQ</t>
        </is>
      </c>
      <c r="L22" s="37" t="n"/>
      <c r="M22" s="37" t="n"/>
      <c r="N22" s="37" t="n"/>
      <c r="O22" s="37" t="n"/>
      <c r="P22" s="41" t="n"/>
      <c r="Q22" s="39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outlineLevel="1" s="47">
      <c r="A23" s="34" t="inlineStr">
        <is>
          <t>TC-02</t>
        </is>
      </c>
      <c r="B23" s="34" t="inlineStr">
        <is>
          <t>Filter by Severity 'caution'.</t>
        </is>
      </c>
      <c r="C23" s="34" t="inlineStr">
        <is>
          <t>1. Filter severity='caution'.</t>
        </is>
      </c>
      <c r="D23" s="34" t="inlineStr">
        <is>
          <t>Only 'caution' alerts shown.</t>
        </is>
      </c>
      <c r="E23" s="34" t="inlineStr">
        <is>
          <t>Multiple severities exist.</t>
        </is>
      </c>
      <c r="F23" s="37" t="inlineStr">
        <is>
          <t>Passed</t>
        </is>
      </c>
      <c r="G23" s="36" t="n">
        <v>46145</v>
      </c>
      <c r="H23" s="37" t="inlineStr">
        <is>
          <t>HuyDQ</t>
        </is>
      </c>
      <c r="I23" s="37" t="inlineStr">
        <is>
          <t>Passed</t>
        </is>
      </c>
      <c r="J23" s="36" t="n">
        <v>46116</v>
      </c>
      <c r="K23" s="37" t="inlineStr">
        <is>
          <t>HuyDQ</t>
        </is>
      </c>
      <c r="L23" s="37" t="n"/>
      <c r="M23" s="37" t="n"/>
      <c r="N23" s="37" t="n"/>
      <c r="O23" s="37" t="n"/>
      <c r="P23" s="41" t="n"/>
      <c r="Q23" s="39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outlineLevel="1" s="47">
      <c r="A24" s="34" t="inlineStr">
        <is>
          <t>TC-03</t>
        </is>
      </c>
      <c r="B24" s="34" t="inlineStr">
        <is>
          <t>Filter by Severity 'warning'.</t>
        </is>
      </c>
      <c r="C24" s="34" t="inlineStr">
        <is>
          <t>1. Filter severity='warning'.</t>
        </is>
      </c>
      <c r="D24" s="34" t="inlineStr">
        <is>
          <t>Only 'warning' alerts shown.</t>
        </is>
      </c>
      <c r="E24" s="34" t="inlineStr">
        <is>
          <t>Multiple severities exist.</t>
        </is>
      </c>
      <c r="F24" s="37" t="inlineStr">
        <is>
          <t>Passed</t>
        </is>
      </c>
      <c r="G24" s="36" t="n">
        <v>46145</v>
      </c>
      <c r="H24" s="37" t="inlineStr">
        <is>
          <t>HuyDQ</t>
        </is>
      </c>
      <c r="I24" s="37" t="inlineStr">
        <is>
          <t>Passed</t>
        </is>
      </c>
      <c r="J24" s="36" t="n">
        <v>46116</v>
      </c>
      <c r="K24" s="37" t="inlineStr">
        <is>
          <t>HuyDQ</t>
        </is>
      </c>
      <c r="L24" s="37" t="n"/>
      <c r="M24" s="37" t="n"/>
      <c r="N24" s="37" t="n"/>
      <c r="O24" s="37" t="n"/>
      <c r="P24" s="41" t="n"/>
      <c r="Q24" s="39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outlineLevel="1" s="47">
      <c r="A25" s="34" t="inlineStr">
        <is>
          <t>TC-04</t>
        </is>
      </c>
      <c r="B25" s="34" t="inlineStr">
        <is>
          <t>Filter by Severity 'critical'.</t>
        </is>
      </c>
      <c r="C25" s="34" t="inlineStr">
        <is>
          <t>1. Filter severity='critical'.</t>
        </is>
      </c>
      <c r="D25" s="34" t="inlineStr">
        <is>
          <t>Only 'critical' alerts shown.</t>
        </is>
      </c>
      <c r="E25" s="34" t="inlineStr">
        <is>
          <t>Multiple severities exist.</t>
        </is>
      </c>
      <c r="F25" s="37" t="inlineStr">
        <is>
          <t>Passed</t>
        </is>
      </c>
      <c r="G25" s="36" t="n">
        <v>46145</v>
      </c>
      <c r="H25" s="37" t="inlineStr">
        <is>
          <t>HuyDQ</t>
        </is>
      </c>
      <c r="I25" s="37" t="inlineStr">
        <is>
          <t>Passed</t>
        </is>
      </c>
      <c r="J25" s="36" t="n">
        <v>46116</v>
      </c>
      <c r="K25" s="37" t="inlineStr">
        <is>
          <t>HuyDQ</t>
        </is>
      </c>
      <c r="L25" s="37" t="n"/>
      <c r="M25" s="37" t="n"/>
      <c r="N25" s="37" t="n"/>
      <c r="O25" s="37" t="n"/>
      <c r="P25" s="41" t="n"/>
      <c r="Q25" s="39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outlineLevel="1" s="47">
      <c r="A26" s="34" t="inlineStr">
        <is>
          <t>TC-05</t>
        </is>
      </c>
      <c r="B26" s="34" t="inlineStr">
        <is>
          <t>Filter by fromDate.</t>
        </is>
      </c>
      <c r="C26" s="34" t="inlineStr">
        <is>
          <t>1. Set fromDate=2026-01-01.</t>
        </is>
      </c>
      <c r="D26" s="34" t="inlineStr">
        <is>
          <t>Alerts triggeredAt &gt;= 2026-01-01.</t>
        </is>
      </c>
      <c r="E26" s="34" t="inlineStr">
        <is>
          <t>Data exists.</t>
        </is>
      </c>
      <c r="F26" s="37" t="inlineStr">
        <is>
          <t>Passed</t>
        </is>
      </c>
      <c r="G26" s="36" t="n">
        <v>46145</v>
      </c>
      <c r="H26" s="37" t="inlineStr">
        <is>
          <t>HuyDQ</t>
        </is>
      </c>
      <c r="I26" s="37" t="inlineStr">
        <is>
          <t>Passed</t>
        </is>
      </c>
      <c r="J26" s="36" t="n">
        <v>46116</v>
      </c>
      <c r="K26" s="37" t="inlineStr">
        <is>
          <t>HuyDQ</t>
        </is>
      </c>
      <c r="L26" s="37" t="n"/>
      <c r="M26" s="37" t="n"/>
      <c r="N26" s="37" t="n"/>
      <c r="O26" s="37" t="n"/>
      <c r="P26" s="41" t="n"/>
      <c r="Q26" s="39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outlineLevel="1" s="47">
      <c r="A27" s="34" t="inlineStr">
        <is>
          <t>TC-06</t>
        </is>
      </c>
      <c r="B27" s="34" t="inlineStr">
        <is>
          <t>Filter by toDate.</t>
        </is>
      </c>
      <c r="C27" s="34" t="inlineStr">
        <is>
          <t>1. Set toDate=2026-01-31.</t>
        </is>
      </c>
      <c r="D27" s="34" t="inlineStr">
        <is>
          <t>Alerts triggeredAt &lt;= 2026-01-31.</t>
        </is>
      </c>
      <c r="E27" s="34" t="inlineStr">
        <is>
          <t>Data exists.</t>
        </is>
      </c>
      <c r="F27" s="37" t="inlineStr">
        <is>
          <t>Passed</t>
        </is>
      </c>
      <c r="G27" s="36" t="n">
        <v>46145</v>
      </c>
      <c r="H27" s="37" t="inlineStr">
        <is>
          <t>HuyDQ</t>
        </is>
      </c>
      <c r="I27" s="37" t="inlineStr">
        <is>
          <t>Passed</t>
        </is>
      </c>
      <c r="J27" s="36" t="n">
        <v>46116</v>
      </c>
      <c r="K27" s="37" t="inlineStr">
        <is>
          <t>HuyDQ</t>
        </is>
      </c>
      <c r="L27" s="37" t="n"/>
      <c r="M27" s="37" t="n"/>
      <c r="N27" s="37" t="n"/>
      <c r="O27" s="37" t="n"/>
      <c r="P27" s="41" t="n"/>
      <c r="Q27" s="39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outlineLevel="1" s="47">
      <c r="A28" s="34" t="inlineStr">
        <is>
          <t>TC-07</t>
        </is>
      </c>
      <c r="B28" s="34" t="inlineStr">
        <is>
          <t>Combined Filters.</t>
        </is>
      </c>
      <c r="C28" s="34" t="inlineStr">
        <is>
          <t>1. areaId + severity + date range.</t>
        </is>
      </c>
      <c r="D28" s="34" t="inlineStr">
        <is>
          <t>Satisfies all criteria simultaneously.</t>
        </is>
      </c>
      <c r="E28" s="34" t="inlineStr">
        <is>
          <t>Match exists.</t>
        </is>
      </c>
      <c r="F28" s="37" t="inlineStr">
        <is>
          <t>Passed</t>
        </is>
      </c>
      <c r="G28" s="36" t="n">
        <v>46145</v>
      </c>
      <c r="H28" s="37" t="inlineStr">
        <is>
          <t>HuyDQ</t>
        </is>
      </c>
      <c r="I28" s="37" t="inlineStr">
        <is>
          <t>Passed</t>
        </is>
      </c>
      <c r="J28" s="36" t="n">
        <v>46116</v>
      </c>
      <c r="K28" s="37" t="inlineStr">
        <is>
          <t>HuyDQ</t>
        </is>
      </c>
      <c r="L28" s="37" t="n"/>
      <c r="M28" s="37" t="n"/>
      <c r="N28" s="37" t="n"/>
      <c r="O28" s="37" t="n"/>
      <c r="P28" s="41" t="n"/>
      <c r="Q28" s="39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outlineLevel="1" s="47">
      <c r="A29" s="34" t="inlineStr">
        <is>
          <t>TC-08</t>
        </is>
      </c>
      <c r="B29" s="34" t="inlineStr">
        <is>
          <t>No Results.</t>
        </is>
      </c>
      <c r="C29" s="34" t="inlineStr">
        <is>
          <t>1. Filter 'critical' in safe date range.</t>
        </is>
      </c>
      <c r="D29" s="34" t="inlineStr">
        <is>
          <t>Empty array. UI shows 'No alerts found'.</t>
        </is>
      </c>
      <c r="E29" s="34" t="inlineStr">
        <is>
          <t>No match.</t>
        </is>
      </c>
      <c r="F29" s="37" t="inlineStr">
        <is>
          <t>Passed</t>
        </is>
      </c>
      <c r="G29" s="36" t="n">
        <v>46145</v>
      </c>
      <c r="H29" s="37" t="inlineStr">
        <is>
          <t>HuyDQ</t>
        </is>
      </c>
      <c r="I29" s="37" t="inlineStr">
        <is>
          <t>Passed</t>
        </is>
      </c>
      <c r="J29" s="36" t="n">
        <v>46116</v>
      </c>
      <c r="K29" s="37" t="inlineStr">
        <is>
          <t>HuyDQ</t>
        </is>
      </c>
      <c r="L29" s="37" t="n"/>
      <c r="M29" s="37" t="n"/>
      <c r="N29" s="37" t="n"/>
      <c r="O29" s="37" t="n"/>
      <c r="P29" s="41" t="n"/>
      <c r="Q29" s="39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outlineLevel="1" s="47">
      <c r="A30" s="34" t="inlineStr">
        <is>
          <t>TC-09</t>
        </is>
      </c>
      <c r="B30" s="34" t="inlineStr">
        <is>
          <t>Filter Status 'Open'.</t>
        </is>
      </c>
      <c r="C30" s="34" t="inlineStr">
        <is>
          <t>1. Filter status='open'.</t>
        </is>
      </c>
      <c r="D30" s="34" t="inlineStr">
        <is>
          <t>Only open alerts shown.</t>
        </is>
      </c>
      <c r="E30" s="34" t="inlineStr">
        <is>
          <t>Both statuses exist.</t>
        </is>
      </c>
      <c r="F30" s="37" t="inlineStr">
        <is>
          <t>Passed</t>
        </is>
      </c>
      <c r="G30" s="36" t="n">
        <v>46145</v>
      </c>
      <c r="H30" s="37" t="inlineStr">
        <is>
          <t>HuyDQ</t>
        </is>
      </c>
      <c r="I30" s="37" t="inlineStr">
        <is>
          <t>Passed</t>
        </is>
      </c>
      <c r="J30" s="36" t="n">
        <v>46116</v>
      </c>
      <c r="K30" s="37" t="inlineStr">
        <is>
          <t>HuyDQ</t>
        </is>
      </c>
      <c r="L30" s="37" t="n"/>
      <c r="M30" s="37" t="n"/>
      <c r="N30" s="37" t="n"/>
      <c r="O30" s="37" t="n"/>
      <c r="P30" s="41" t="n"/>
      <c r="Q30" s="39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outlineLevel="1" s="47">
      <c r="A31" s="34" t="inlineStr">
        <is>
          <t>TC-10</t>
        </is>
      </c>
      <c r="B31" s="34" t="inlineStr">
        <is>
          <t>Filter Status 'Resolved'.</t>
        </is>
      </c>
      <c r="C31" s="34" t="inlineStr">
        <is>
          <t>1. Filter status='resolved'.</t>
        </is>
      </c>
      <c r="D31" s="34" t="inlineStr">
        <is>
          <t>Only resolved alerts shown.</t>
        </is>
      </c>
      <c r="E31" s="34" t="inlineStr">
        <is>
          <t>Both statuses exist.</t>
        </is>
      </c>
      <c r="F31" s="37" t="inlineStr">
        <is>
          <t>Passed</t>
        </is>
      </c>
      <c r="G31" s="36" t="n">
        <v>46145</v>
      </c>
      <c r="H31" s="37" t="inlineStr">
        <is>
          <t>HuyDQ</t>
        </is>
      </c>
      <c r="I31" s="37" t="inlineStr">
        <is>
          <t>Passed</t>
        </is>
      </c>
      <c r="J31" s="36" t="n">
        <v>46116</v>
      </c>
      <c r="K31" s="37" t="inlineStr">
        <is>
          <t>HuyDQ</t>
        </is>
      </c>
      <c r="L31" s="37" t="n"/>
      <c r="M31" s="37" t="n"/>
      <c r="N31" s="37" t="n"/>
      <c r="O31" s="37" t="n"/>
      <c r="P31" s="41" t="n"/>
      <c r="Q31" s="39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outlineLevel="1" s="47">
      <c r="A32" s="34" t="inlineStr">
        <is>
          <t>TC-11</t>
        </is>
      </c>
      <c r="B32" s="34" t="inlineStr">
        <is>
          <t>Clear All Filters.</t>
        </is>
      </c>
      <c r="C32" s="34" t="inlineStr">
        <is>
          <t>1. Clear multiple filters.</t>
        </is>
      </c>
      <c r="D32" s="34" t="inlineStr">
        <is>
          <t>Full list restored.</t>
        </is>
      </c>
      <c r="E32" s="34" t="inlineStr">
        <is>
          <t>Filters applied.</t>
        </is>
      </c>
      <c r="F32" s="37" t="inlineStr">
        <is>
          <t>Passed</t>
        </is>
      </c>
      <c r="G32" s="36" t="n">
        <v>46145</v>
      </c>
      <c r="H32" s="37" t="inlineStr">
        <is>
          <t>HuyDQ</t>
        </is>
      </c>
      <c r="I32" s="37" t="inlineStr">
        <is>
          <t>Passed</t>
        </is>
      </c>
      <c r="J32" s="36" t="n">
        <v>46116</v>
      </c>
      <c r="K32" s="37" t="inlineStr">
        <is>
          <t>HuyDQ</t>
        </is>
      </c>
      <c r="L32" s="37" t="n"/>
      <c r="M32" s="37" t="n"/>
      <c r="N32" s="37" t="n"/>
      <c r="O32" s="37" t="n"/>
      <c r="P32" s="41" t="n"/>
      <c r="Q32" s="39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outlineLevel="1" s="47">
      <c r="A33" s="34" t="inlineStr">
        <is>
          <t>TC-12</t>
        </is>
      </c>
      <c r="B33" s="34" t="inlineStr">
        <is>
          <t>Invalid areaId.</t>
        </is>
      </c>
      <c r="C33" s="34" t="inlineStr">
        <is>
          <t>1. Filter non-existent GUID.</t>
        </is>
      </c>
      <c r="D33" s="34" t="inlineStr">
        <is>
          <t>HTTP 200 OK. Empty list. UI 'No alerts found'.</t>
        </is>
      </c>
      <c r="E33" s="34" t="inlineStr">
        <is>
          <t>None.</t>
        </is>
      </c>
      <c r="F33" s="37" t="inlineStr">
        <is>
          <t>Passed</t>
        </is>
      </c>
      <c r="G33" s="36" t="n">
        <v>46145</v>
      </c>
      <c r="H33" s="37" t="inlineStr">
        <is>
          <t>HuyDQ</t>
        </is>
      </c>
      <c r="I33" s="37" t="inlineStr">
        <is>
          <t>Passed</t>
        </is>
      </c>
      <c r="J33" s="36" t="n">
        <v>46116</v>
      </c>
      <c r="K33" s="37" t="inlineStr">
        <is>
          <t>HuyDQ</t>
        </is>
      </c>
      <c r="L33" s="37" t="n"/>
      <c r="M33" s="37" t="n"/>
      <c r="N33" s="37" t="n"/>
      <c r="O33" s="37" t="n"/>
      <c r="P33" s="41" t="n"/>
      <c r="Q33" s="39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43" t="inlineStr">
        <is>
          <t>Pagination</t>
        </is>
      </c>
      <c r="B34" s="43" t="n"/>
      <c r="C34" s="43" t="n"/>
      <c r="D34" s="43" t="n"/>
      <c r="E34" s="43" t="n"/>
      <c r="F34" s="43" t="n"/>
      <c r="G34" s="43" t="n"/>
      <c r="H34" s="43" t="n"/>
      <c r="I34" s="43" t="n"/>
      <c r="J34" s="43" t="n"/>
      <c r="K34" s="43" t="n"/>
      <c r="L34" s="43" t="n"/>
      <c r="M34" s="43" t="n"/>
      <c r="N34" s="43" t="n"/>
      <c r="O34" s="43" t="n"/>
      <c r="P34" s="44" t="n"/>
      <c r="Q34" s="33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</row>
    <row r="35" outlineLevel="1" s="47">
      <c r="A35" s="34" t="inlineStr">
        <is>
          <t>TC-01</t>
        </is>
      </c>
      <c r="B35" s="34" t="inlineStr">
        <is>
          <t>Default Pagination.</t>
        </is>
      </c>
      <c r="C35" s="34" t="inlineStr">
        <is>
          <t>1. No params.</t>
        </is>
      </c>
      <c r="D35" s="34" t="inlineStr">
        <is>
          <t>pageNumber=1, pageSize=10. Max 10 items.</t>
        </is>
      </c>
      <c r="E35" s="34" t="inlineStr">
        <is>
          <t>10+ alerts exist.</t>
        </is>
      </c>
      <c r="F35" s="37" t="inlineStr">
        <is>
          <t>Passed</t>
        </is>
      </c>
      <c r="G35" s="36" t="n">
        <v>46145</v>
      </c>
      <c r="H35" s="37" t="inlineStr">
        <is>
          <t>HuyDQ</t>
        </is>
      </c>
      <c r="I35" s="37" t="inlineStr">
        <is>
          <t>Passed</t>
        </is>
      </c>
      <c r="J35" s="36" t="n">
        <v>46116</v>
      </c>
      <c r="K35" s="37" t="inlineStr">
        <is>
          <t>HuyDQ</t>
        </is>
      </c>
      <c r="L35" s="37" t="n"/>
      <c r="M35" s="37" t="n"/>
      <c r="N35" s="37" t="n"/>
      <c r="O35" s="37" t="n"/>
      <c r="P35" s="41" t="n"/>
      <c r="Q35" s="39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34" t="inlineStr">
        <is>
          <t>TC-02</t>
        </is>
      </c>
      <c r="B36" s="34" t="inlineStr">
        <is>
          <t>Load Next Page.</t>
        </is>
      </c>
      <c r="C36" s="34" t="inlineStr">
        <is>
          <t>1. Navigate to page 2.</t>
        </is>
      </c>
      <c r="D36" s="34" t="inlineStr">
        <is>
          <t>Page 2 loaded and appended. pageNumber=2.</t>
        </is>
      </c>
      <c r="E36" s="34" t="inlineStr">
        <is>
          <t>10+ alerts exist.</t>
        </is>
      </c>
      <c r="F36" s="37" t="inlineStr">
        <is>
          <t>Passed</t>
        </is>
      </c>
      <c r="G36" s="36" t="n">
        <v>46145</v>
      </c>
      <c r="H36" s="37" t="inlineStr">
        <is>
          <t>HuyDQ</t>
        </is>
      </c>
      <c r="I36" s="37" t="inlineStr">
        <is>
          <t>Passed</t>
        </is>
      </c>
      <c r="J36" s="36" t="n">
        <v>46116</v>
      </c>
      <c r="K36" s="37" t="inlineStr">
        <is>
          <t>HuyDQ</t>
        </is>
      </c>
      <c r="L36" s="37" t="n"/>
      <c r="M36" s="37" t="n"/>
      <c r="N36" s="37" t="n"/>
      <c r="O36" s="37" t="n"/>
      <c r="P36" s="41" t="n"/>
      <c r="Q36" s="2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34" t="inlineStr">
        <is>
          <t>TC-03</t>
        </is>
      </c>
      <c r="B37" s="34" t="inlineStr">
        <is>
          <t>Custom pageSize=20.</t>
        </is>
      </c>
      <c r="C37" s="34" t="inlineStr">
        <is>
          <t>1. Set pageSize=20.</t>
        </is>
      </c>
      <c r="D37" s="34" t="inlineStr">
        <is>
          <t>20 items returned per page.</t>
        </is>
      </c>
      <c r="E37" s="34" t="inlineStr">
        <is>
          <t>20+ alerts exist.</t>
        </is>
      </c>
      <c r="F37" s="37" t="inlineStr">
        <is>
          <t>Passed</t>
        </is>
      </c>
      <c r="G37" s="36" t="n">
        <v>46145</v>
      </c>
      <c r="H37" s="37" t="inlineStr">
        <is>
          <t>HuyDQ</t>
        </is>
      </c>
      <c r="I37" s="37" t="inlineStr">
        <is>
          <t>Passed</t>
        </is>
      </c>
      <c r="J37" s="36" t="n">
        <v>46116</v>
      </c>
      <c r="K37" s="37" t="inlineStr">
        <is>
          <t>HuyDQ</t>
        </is>
      </c>
      <c r="L37" s="37" t="n"/>
      <c r="M37" s="37" t="n"/>
      <c r="N37" s="37" t="n"/>
      <c r="O37" s="37" t="n"/>
      <c r="P37" s="41" t="n"/>
      <c r="Q37" s="2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34" t="inlineStr">
        <is>
          <t>TC-04</t>
        </is>
      </c>
      <c r="B38" s="34" t="inlineStr">
        <is>
          <t>Last page hide 'Load More'.</t>
        </is>
      </c>
      <c r="C38" s="34" t="inlineStr">
        <is>
          <t>1. Go to last page.</t>
        </is>
      </c>
      <c r="D38" s="45" t="inlineStr">
        <is>
          <t>Load More' button hidden/disabled.</t>
        </is>
      </c>
      <c r="E38" s="34" t="inlineStr">
        <is>
          <t>All pages loaded.</t>
        </is>
      </c>
      <c r="F38" s="37" t="inlineStr">
        <is>
          <t>Passed</t>
        </is>
      </c>
      <c r="G38" s="36" t="n">
        <v>46145</v>
      </c>
      <c r="H38" s="37" t="inlineStr">
        <is>
          <t>HuyDQ</t>
        </is>
      </c>
      <c r="I38" s="37" t="inlineStr">
        <is>
          <t>Passed</t>
        </is>
      </c>
      <c r="J38" s="36" t="n">
        <v>46116</v>
      </c>
      <c r="K38" s="37" t="inlineStr">
        <is>
          <t>HuyDQ</t>
        </is>
      </c>
      <c r="L38" s="37" t="n"/>
      <c r="M38" s="37" t="n"/>
      <c r="N38" s="37" t="n"/>
      <c r="O38" s="37" t="n"/>
      <c r="P38" s="41" t="n"/>
      <c r="Q38" s="2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34" t="inlineStr">
        <is>
          <t>TC-05</t>
        </is>
      </c>
      <c r="B39" s="34" t="inlineStr">
        <is>
          <t>Previous page.</t>
        </is>
      </c>
      <c r="C39" s="34" t="inlineStr">
        <is>
          <t>1. Back to page 1 from 2.</t>
        </is>
      </c>
      <c r="D39" s="34" t="inlineStr">
        <is>
          <t>Page 1 loaded correctly.</t>
        </is>
      </c>
      <c r="E39" s="34" t="inlineStr">
        <is>
          <t>2+ pages exist.</t>
        </is>
      </c>
      <c r="F39" s="37" t="inlineStr">
        <is>
          <t>Passed</t>
        </is>
      </c>
      <c r="G39" s="36" t="n">
        <v>46145</v>
      </c>
      <c r="H39" s="37" t="inlineStr">
        <is>
          <t>HuyDQ</t>
        </is>
      </c>
      <c r="I39" s="37" t="inlineStr">
        <is>
          <t>Passed</t>
        </is>
      </c>
      <c r="J39" s="36" t="n">
        <v>46116</v>
      </c>
      <c r="K39" s="37" t="inlineStr">
        <is>
          <t>HuyDQ</t>
        </is>
      </c>
      <c r="L39" s="37" t="n"/>
      <c r="M39" s="37" t="n"/>
      <c r="N39" s="37" t="n"/>
      <c r="O39" s="37" t="n"/>
      <c r="P39" s="41" t="n"/>
      <c r="Q39" s="2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34" t="inlineStr">
        <is>
          <t>TC-06</t>
        </is>
      </c>
      <c r="B40" s="34" t="inlineStr">
        <is>
          <t>Out of range.</t>
        </is>
      </c>
      <c r="C40" s="34" t="inlineStr">
        <is>
          <t>1. pageNumber=999.</t>
        </is>
      </c>
      <c r="D40" s="34" t="inlineStr">
        <is>
          <t>HTTP 200 OK. Empty list. UI 'No alerts found'.</t>
        </is>
      </c>
      <c r="E40" s="34" t="inlineStr">
        <is>
          <t>Fewer than 999 pages.</t>
        </is>
      </c>
      <c r="F40" s="37" t="inlineStr">
        <is>
          <t>Passed</t>
        </is>
      </c>
      <c r="G40" s="36" t="n">
        <v>46145</v>
      </c>
      <c r="H40" s="37" t="inlineStr">
        <is>
          <t>HuyDQ</t>
        </is>
      </c>
      <c r="I40" s="37" t="inlineStr">
        <is>
          <t>Passed</t>
        </is>
      </c>
      <c r="J40" s="36" t="n">
        <v>46116</v>
      </c>
      <c r="K40" s="37" t="inlineStr">
        <is>
          <t>HuyDQ</t>
        </is>
      </c>
      <c r="L40" s="37" t="n"/>
      <c r="M40" s="37" t="n"/>
      <c r="N40" s="37" t="n"/>
      <c r="O40" s="37" t="n"/>
      <c r="P40" s="41" t="n"/>
      <c r="Q40" s="2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37" t="n"/>
      <c r="B41" s="37" t="n"/>
      <c r="C41" s="37" t="n"/>
      <c r="D41" s="37" t="n"/>
      <c r="E41" s="37" t="n"/>
      <c r="F41" s="37" t="n"/>
      <c r="G41" s="37" t="n"/>
      <c r="H41" s="37" t="n"/>
      <c r="I41" s="37" t="n"/>
      <c r="J41" s="37" t="n"/>
      <c r="K41" s="37" t="n"/>
      <c r="L41" s="37" t="n"/>
      <c r="M41" s="37" t="n"/>
      <c r="N41" s="37" t="n"/>
      <c r="O41" s="37" t="n"/>
      <c r="P41" s="41" t="n"/>
      <c r="Q41" s="2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46" t="n"/>
      <c r="B42" s="46" t="n"/>
      <c r="C42" s="46" t="n"/>
      <c r="D42" s="46" t="n"/>
      <c r="E42" s="46" t="n"/>
      <c r="F42" s="46" t="n"/>
      <c r="G42" s="46" t="n"/>
      <c r="H42" s="46" t="n"/>
      <c r="I42" s="46" t="n"/>
      <c r="J42" s="46" t="n"/>
      <c r="K42" s="46" t="n"/>
      <c r="L42" s="46" t="n"/>
      <c r="M42" s="46" t="n"/>
      <c r="N42" s="46" t="n"/>
      <c r="O42" s="46" t="n"/>
      <c r="P42" s="1" t="n"/>
      <c r="Q42" s="2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2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2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2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2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2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2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2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2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2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2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2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2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2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2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2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2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2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2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2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2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2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2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2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2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2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2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2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2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2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2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2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2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2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2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2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2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2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2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2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2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2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2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2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2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2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2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2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2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2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2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2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2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2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2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2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2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2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2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2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2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2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2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2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2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2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2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2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2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2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2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2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2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2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2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2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2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2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2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2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2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2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2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2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2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2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2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2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2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2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2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2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2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2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2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2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2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2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2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2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2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2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2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2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2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2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2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2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2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2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2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2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2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2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2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2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2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2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2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2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2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2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2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2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2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2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2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2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2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2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2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2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2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2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2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2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2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2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2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2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2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2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2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2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2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2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2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2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2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2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2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2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2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2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2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2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2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2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2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2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2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2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2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2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2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2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2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2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2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2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2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2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2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2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2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2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2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2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2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2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2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2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2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2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2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2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2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2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2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2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2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2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2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2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</sheetData>
  <mergeCells count="3">
    <mergeCell ref="B3:E3"/>
    <mergeCell ref="B2:E2"/>
    <mergeCell ref="B4:E4"/>
  </mergeCells>
  <dataValidations count="1">
    <dataValidation sqref="F12:F20 F22:F33 F35:F40 G2:G3 G9 G41:G163 I12:I20 I22:I33 I35:I40 J2:J3 J9 J41:J163 L12:L20 L22:L33 L35 M2:M3 M9 M36:M163" showDropDown="0" showInputMessage="0" showErrorMessage="1" allowBlank="1" type="list">
      <formula1>$R$2:$R$5</formula1>
    </dataValidation>
  </dataValidations>
  <pageMargins left="0.747916666666667" right="0.25" top="0.75" bottom="0.9840277777777779" header="0" footer="0"/>
  <pageSetup orientation="landscape" paperSize="9"/>
  <headerFooter>
    <oddHeader>&amp;LFacilitate_Test Case\Company&amp;Rv1.0</oddHeader>
    <oddFooter>&amp;L 02ae-BM/PM/HDCV/FSOFT v2/0&amp;CInternal use&amp;R&amp;P/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Z235"/>
  <sheetViews>
    <sheetView workbookViewId="0">
      <selection activeCell="A1" sqref="A1"/>
    </sheetView>
  </sheetViews>
  <sheetFormatPr baseColWidth="8" defaultColWidth="12.63" defaultRowHeight="15.75" customHeight="1" outlineLevelRow="1"/>
  <cols>
    <col width="17" customWidth="1" style="47" min="1" max="1"/>
    <col width="34.5" customWidth="1" style="47" min="2" max="2"/>
    <col width="34.13" customWidth="1" style="47" min="3" max="3"/>
    <col width="34.63" customWidth="1" style="47" min="4" max="4"/>
    <col width="28.38" customWidth="1" style="47" min="5" max="5"/>
    <col width="9.380000000000001" customWidth="1" style="47" min="6" max="6"/>
    <col outlineLevel="1" width="10.63" customWidth="1" style="47" min="7" max="7"/>
    <col outlineLevel="1" width="7" customWidth="1" style="47" min="8" max="8"/>
    <col width="9.380000000000001" customWidth="1" style="47" min="9" max="9"/>
    <col outlineLevel="1" width="10.63" customWidth="1" style="47" min="10" max="10"/>
    <col outlineLevel="1" width="10.88" customWidth="1" style="47" min="11" max="11"/>
    <col width="9.380000000000001" customWidth="1" style="47" min="12" max="12"/>
    <col outlineLevel="1" width="10.63" customWidth="1" style="47" min="13" max="13"/>
    <col outlineLevel="1" width="11.13" customWidth="1" style="47" min="14" max="14"/>
    <col width="28.63" customWidth="1" style="47" min="15" max="15"/>
    <col width="10.13" customWidth="1" style="47" min="16" max="16"/>
    <col width="8.130000000000001" customWidth="1" style="47" min="17" max="17"/>
    <col hidden="1" width="7.63" customWidth="1" style="47" min="18" max="18"/>
    <col width="9" customWidth="1" style="47" min="19" max="2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2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3" t="inlineStr">
        <is>
          <t>Feature</t>
        </is>
      </c>
      <c r="B2" s="48" t="inlineStr">
        <is>
          <t>FE-25_Report Flood Points (Photo / Video)</t>
        </is>
      </c>
      <c r="C2" s="49" t="n"/>
      <c r="D2" s="49" t="n"/>
      <c r="E2" s="50" t="n"/>
      <c r="F2" s="7" t="n"/>
      <c r="G2" s="8" t="n"/>
      <c r="H2" s="9" t="n"/>
      <c r="I2" s="7" t="n"/>
      <c r="J2" s="8" t="n"/>
      <c r="K2" s="9" t="n"/>
      <c r="L2" s="7" t="n"/>
      <c r="M2" s="8" t="n"/>
      <c r="N2" s="9" t="n"/>
      <c r="O2" s="9" t="n"/>
      <c r="P2" s="9" t="n"/>
      <c r="Q2" s="10" t="n"/>
      <c r="R2" s="11" t="inlineStr">
        <is>
          <t>Passed</t>
        </is>
      </c>
      <c r="S2" s="11" t="n"/>
      <c r="T2" s="11" t="n"/>
      <c r="U2" s="11" t="n"/>
      <c r="V2" s="11" t="n"/>
      <c r="W2" s="11" t="n"/>
      <c r="X2" s="11" t="n"/>
      <c r="Y2" s="11" t="n"/>
      <c r="Z2" s="11" t="n"/>
    </row>
    <row r="3">
      <c r="A3" s="12" t="inlineStr">
        <is>
          <t>Test requirement</t>
        </is>
      </c>
      <c r="B3" s="51" t="n"/>
      <c r="C3" s="52" t="n"/>
      <c r="D3" s="52" t="n"/>
      <c r="E3" s="53" t="n"/>
      <c r="F3" s="7" t="n"/>
      <c r="G3" s="8" t="n"/>
      <c r="H3" s="9" t="n"/>
      <c r="I3" s="7" t="n"/>
      <c r="J3" s="8" t="n"/>
      <c r="K3" s="9" t="n"/>
      <c r="L3" s="7" t="n"/>
      <c r="M3" s="8" t="n"/>
      <c r="N3" s="9" t="n"/>
      <c r="O3" s="9" t="n"/>
      <c r="P3" s="9" t="n"/>
      <c r="Q3" s="10" t="n"/>
      <c r="R3" s="11" t="inlineStr">
        <is>
          <t>Failed</t>
        </is>
      </c>
      <c r="S3" s="11" t="n"/>
      <c r="T3" s="11" t="n"/>
      <c r="U3" s="11" t="n"/>
      <c r="V3" s="11" t="n"/>
      <c r="W3" s="11" t="n"/>
      <c r="X3" s="11" t="n"/>
      <c r="Y3" s="11" t="n"/>
      <c r="Z3" s="11" t="n"/>
    </row>
    <row r="4">
      <c r="A4" s="12" t="inlineStr">
        <is>
          <t>Number of TCs</t>
        </is>
      </c>
      <c r="B4" s="51">
        <f>COUNTA(A13:A1016)</f>
        <v/>
      </c>
      <c r="C4" s="52" t="n"/>
      <c r="D4" s="52" t="n"/>
      <c r="E4" s="53" t="n"/>
      <c r="F4" s="7" t="n"/>
      <c r="G4" s="8" t="n"/>
      <c r="H4" s="9" t="n"/>
      <c r="I4" s="7" t="n"/>
      <c r="J4" s="8" t="n"/>
      <c r="K4" s="9" t="n"/>
      <c r="L4" s="7" t="n"/>
      <c r="M4" s="8" t="n"/>
      <c r="N4" s="9" t="n"/>
      <c r="O4" s="9" t="n"/>
      <c r="P4" s="9" t="n"/>
      <c r="Q4" s="10" t="n"/>
      <c r="R4" s="11" t="inlineStr">
        <is>
          <t>Pending</t>
        </is>
      </c>
      <c r="S4" s="11" t="n"/>
      <c r="T4" s="11" t="n"/>
      <c r="U4" s="11" t="n"/>
      <c r="V4" s="11" t="n"/>
      <c r="W4" s="11" t="n"/>
      <c r="X4" s="11" t="n"/>
      <c r="Y4" s="11" t="n"/>
      <c r="Z4" s="11" t="n"/>
    </row>
    <row r="5">
      <c r="A5" s="16" t="inlineStr">
        <is>
          <t>Testing Round</t>
        </is>
      </c>
      <c r="B5" s="17" t="inlineStr">
        <is>
          <t>Passed</t>
        </is>
      </c>
      <c r="C5" s="17" t="inlineStr">
        <is>
          <t>Failed</t>
        </is>
      </c>
      <c r="D5" s="17" t="inlineStr">
        <is>
          <t>Pending</t>
        </is>
      </c>
      <c r="E5" s="18" t="inlineStr">
        <is>
          <t>N/A</t>
        </is>
      </c>
      <c r="F5" s="19" t="n"/>
      <c r="G5" s="19" t="n"/>
      <c r="H5" s="20" t="n"/>
      <c r="I5" s="19" t="n"/>
      <c r="J5" s="19" t="n"/>
      <c r="K5" s="20" t="n"/>
      <c r="L5" s="19" t="n"/>
      <c r="M5" s="19" t="n"/>
      <c r="N5" s="20" t="n"/>
      <c r="O5" s="20" t="n"/>
      <c r="P5" s="20" t="n"/>
      <c r="Q5" s="21" t="n"/>
      <c r="R5" s="11" t="inlineStr">
        <is>
          <t>N/A</t>
        </is>
      </c>
      <c r="S5" s="11" t="n"/>
      <c r="T5" s="11" t="n"/>
      <c r="U5" s="11" t="n"/>
      <c r="V5" s="11" t="n"/>
      <c r="W5" s="11" t="n"/>
      <c r="X5" s="11" t="n"/>
      <c r="Y5" s="11" t="n"/>
      <c r="Z5" s="11" t="n"/>
    </row>
    <row r="6">
      <c r="A6" s="16" t="inlineStr">
        <is>
          <t>Round 1</t>
        </is>
      </c>
      <c r="B6" s="22">
        <f>COUNTIF($F10:$F1016,B5)</f>
        <v/>
      </c>
      <c r="C6" s="22">
        <f>COUNTIF($F10:$F1016,C5)</f>
        <v/>
      </c>
      <c r="D6" s="22">
        <f>COUNTIF($F10:$F1016,D5)</f>
        <v/>
      </c>
      <c r="E6" s="22">
        <f>COUNTIF($F10:$F1016,E5)</f>
        <v/>
      </c>
      <c r="F6" s="23" t="n"/>
      <c r="G6" s="23" t="n"/>
      <c r="H6" s="20" t="n"/>
      <c r="I6" s="23" t="n"/>
      <c r="J6" s="23" t="n"/>
      <c r="K6" s="20" t="n"/>
      <c r="L6" s="23" t="n"/>
      <c r="M6" s="23" t="n"/>
      <c r="N6" s="20" t="n"/>
      <c r="O6" s="20" t="n"/>
      <c r="P6" s="20" t="n"/>
      <c r="Q6" s="2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</row>
    <row r="7">
      <c r="A7" s="16" t="inlineStr">
        <is>
          <t>Round 2</t>
        </is>
      </c>
      <c r="B7" s="22">
        <f>COUNTIF($I10:$I1016,B5)</f>
        <v/>
      </c>
      <c r="C7" s="22">
        <f>COUNTIF($I10:$I1016,C5)</f>
        <v/>
      </c>
      <c r="D7" s="22">
        <f>COUNTIF($I10:$I1016,D5)</f>
        <v/>
      </c>
      <c r="E7" s="22">
        <f>COUNTIF($I10:$I1016,E5)</f>
        <v/>
      </c>
      <c r="F7" s="23" t="n"/>
      <c r="G7" s="23" t="n"/>
      <c r="H7" s="20" t="n"/>
      <c r="I7" s="23" t="n"/>
      <c r="J7" s="23" t="n"/>
      <c r="K7" s="20" t="n"/>
      <c r="L7" s="23" t="n"/>
      <c r="M7" s="23" t="n"/>
      <c r="N7" s="20" t="n"/>
      <c r="O7" s="20" t="n"/>
      <c r="P7" s="20" t="n"/>
      <c r="Q7" s="2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</row>
    <row r="8">
      <c r="A8" s="24" t="inlineStr">
        <is>
          <t>Round 3</t>
        </is>
      </c>
      <c r="B8" s="25">
        <f>COUNTIF($L10:$L1016,B5)</f>
        <v/>
      </c>
      <c r="C8" s="25">
        <f>COUNTIF($L10:$L1016,C5)</f>
        <v/>
      </c>
      <c r="D8" s="25">
        <f>COUNTIF($L10:$L1016,D5)</f>
        <v/>
      </c>
      <c r="E8" s="25">
        <f>COUNTIF($L10:$L1016,E5)</f>
        <v/>
      </c>
      <c r="F8" s="23" t="n"/>
      <c r="G8" s="23" t="n"/>
      <c r="H8" s="20" t="n"/>
      <c r="I8" s="23" t="n"/>
      <c r="J8" s="23" t="n"/>
      <c r="K8" s="20" t="n"/>
      <c r="L8" s="23" t="n"/>
      <c r="M8" s="23" t="n"/>
      <c r="N8" s="20" t="n"/>
      <c r="O8" s="20" t="n"/>
      <c r="P8" s="20" t="n"/>
      <c r="Q8" s="2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</row>
    <row r="9">
      <c r="A9" s="20" t="n"/>
      <c r="B9" s="20" t="n"/>
      <c r="C9" s="20" t="n"/>
      <c r="D9" s="20" t="n"/>
      <c r="E9" s="20" t="n"/>
      <c r="F9" s="26" t="n"/>
      <c r="G9" s="20" t="n"/>
      <c r="H9" s="20" t="n"/>
      <c r="I9" s="26" t="n"/>
      <c r="J9" s="20" t="n"/>
      <c r="K9" s="20" t="n"/>
      <c r="L9" s="26" t="n"/>
      <c r="M9" s="20" t="n"/>
      <c r="N9" s="20" t="n"/>
      <c r="O9" s="20" t="n"/>
      <c r="P9" s="20" t="n"/>
      <c r="Q9" s="2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</row>
    <row r="10">
      <c r="A10" s="27" t="inlineStr">
        <is>
          <t>Test Case ID</t>
        </is>
      </c>
      <c r="B10" s="27" t="inlineStr">
        <is>
          <t>Test Case Description</t>
        </is>
      </c>
      <c r="C10" s="27" t="inlineStr">
        <is>
          <t>Test Case Procedure</t>
        </is>
      </c>
      <c r="D10" s="27" t="inlineStr">
        <is>
          <t>Expected Results</t>
        </is>
      </c>
      <c r="E10" s="27" t="inlineStr">
        <is>
          <t>Pre-conditions</t>
        </is>
      </c>
      <c r="F10" s="27" t="inlineStr">
        <is>
          <t>Round 1</t>
        </is>
      </c>
      <c r="G10" s="27" t="inlineStr">
        <is>
          <t>Test date</t>
        </is>
      </c>
      <c r="H10" s="27" t="inlineStr">
        <is>
          <t>Tester</t>
        </is>
      </c>
      <c r="I10" s="27" t="inlineStr">
        <is>
          <t>Round 2</t>
        </is>
      </c>
      <c r="J10" s="27" t="inlineStr">
        <is>
          <t>Test date</t>
        </is>
      </c>
      <c r="K10" s="27" t="inlineStr">
        <is>
          <t>Tester</t>
        </is>
      </c>
      <c r="L10" s="27" t="inlineStr">
        <is>
          <t>Round 3</t>
        </is>
      </c>
      <c r="M10" s="27" t="inlineStr">
        <is>
          <t>Test date</t>
        </is>
      </c>
      <c r="N10" s="27" t="inlineStr">
        <is>
          <t>Tester</t>
        </is>
      </c>
      <c r="O10" s="27" t="inlineStr">
        <is>
          <t>Note</t>
        </is>
      </c>
      <c r="P10" s="11" t="n"/>
      <c r="Q10" s="28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</row>
    <row r="11">
      <c r="A11" s="30" t="inlineStr">
        <is>
          <t>Report Flood Points - System Testing</t>
        </is>
      </c>
      <c r="B11" s="30" t="n"/>
      <c r="C11" s="31" t="n"/>
      <c r="D11" s="31" t="n"/>
      <c r="E11" s="31" t="n"/>
      <c r="F11" s="31" t="n"/>
      <c r="G11" s="31" t="n"/>
      <c r="H11" s="31" t="n"/>
      <c r="I11" s="31" t="n"/>
      <c r="J11" s="31" t="n"/>
      <c r="K11" s="31" t="n"/>
      <c r="L11" s="31" t="n"/>
      <c r="M11" s="31" t="n"/>
      <c r="N11" s="31" t="n"/>
      <c r="O11" s="32" t="n"/>
      <c r="P11" s="11" t="n"/>
      <c r="Q11" s="33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</row>
    <row r="12" outlineLevel="1" s="47">
      <c r="A12" s="34" t="inlineStr">
        <is>
          <t>Submission, Media Validation, Anti-spam, and Error Handling</t>
        </is>
      </c>
      <c r="B12" s="34" t="n"/>
      <c r="C12" s="34" t="n"/>
      <c r="D12" s="34" t="n"/>
      <c r="E12" s="34" t="n"/>
      <c r="F12" s="37" t="n"/>
      <c r="G12" s="36" t="n"/>
      <c r="H12" s="37" t="n"/>
      <c r="I12" s="37" t="n"/>
      <c r="J12" s="36" t="n"/>
      <c r="K12" s="37" t="n"/>
      <c r="L12" s="37" t="n"/>
      <c r="M12" s="37" t="n"/>
      <c r="N12" s="37" t="n"/>
      <c r="O12" s="37" t="n"/>
      <c r="P12" s="38" t="n"/>
      <c r="Q12" s="39" t="n"/>
      <c r="R12" s="40" t="n"/>
      <c r="S12" s="40" t="n"/>
      <c r="T12" s="40" t="n"/>
      <c r="U12" s="40" t="n"/>
      <c r="V12" s="40" t="n"/>
      <c r="W12" s="40" t="n"/>
      <c r="X12" s="40" t="n"/>
      <c r="Y12" s="40" t="n"/>
      <c r="Z12" s="40" t="n"/>
    </row>
    <row r="13" outlineLevel="1" s="47">
      <c r="A13" s="34" t="inlineStr">
        <is>
          <t>TC-01</t>
        </is>
      </c>
      <c r="B13" s="34" t="inlineStr">
        <is>
          <t>Submit report with valid latitude/longitude only (no media).</t>
        </is>
      </c>
      <c r="C13" s="34" t="inlineStr">
        <is>
          <t>1. Log in with a valid account.
2. Open Report Flood Point screen.
3. Select valid location (lat/lng in range).
4. Leave description/media empty.
5. Submit report.</t>
        </is>
      </c>
      <c r="D13" s="34" t="inlineStr">
        <is>
          <t>HTTP 201 Created. Response contains id, score=1, status=Published, createdAt. Report is saved successfully.</t>
        </is>
      </c>
      <c r="E13" s="34" t="inlineStr">
        <is>
          <t>Authenticated user. Stable network.</t>
        </is>
      </c>
      <c r="F13" s="37" t="n"/>
      <c r="G13" s="36" t="n"/>
      <c r="H13" s="37" t="n"/>
      <c r="I13" s="37" t="n"/>
      <c r="J13" s="36" t="n"/>
      <c r="K13" s="37" t="n"/>
      <c r="L13" s="37" t="n"/>
      <c r="M13" s="37" t="n"/>
      <c r="N13" s="37" t="n"/>
      <c r="O13" s="37" t="n"/>
      <c r="P13" s="38" t="n"/>
      <c r="Q13" s="39" t="n"/>
      <c r="R13" s="40" t="n"/>
      <c r="S13" s="40" t="n"/>
      <c r="T13" s="40" t="n"/>
      <c r="U13" s="40" t="n"/>
      <c r="V13" s="40" t="n"/>
      <c r="W13" s="40" t="n"/>
      <c r="X13" s="40" t="n"/>
      <c r="Y13" s="40" t="n"/>
      <c r="Z13" s="40" t="n"/>
    </row>
    <row r="14" outlineLevel="1" s="47">
      <c r="A14" s="34" t="inlineStr">
        <is>
          <t>TC-02</t>
        </is>
      </c>
      <c r="B14" s="34" t="inlineStr">
        <is>
          <t>Submit report with valid description + 1 photo.</t>
        </is>
      </c>
      <c r="C14" s="34" t="inlineStr">
        <is>
          <t>1. Log in.
2. Open report screen.
3. Enter valid description text.
4. Attach 1 valid photo (.jpg/.jpeg/.png/.webp).
5. Submit report.</t>
        </is>
      </c>
      <c r="D14" s="34" t="inlineStr">
        <is>
          <t>HTTP 201 Created. Report saved with media reference. status=Published and score=1.</t>
        </is>
      </c>
      <c r="E14" s="34" t="inlineStr">
        <is>
          <t>Authenticated user. Photo file size &lt;= maxPhotoSizeBytes.</t>
        </is>
      </c>
      <c r="F14" s="37" t="n"/>
      <c r="G14" s="36" t="n"/>
      <c r="H14" s="37" t="n"/>
      <c r="I14" s="37" t="n"/>
      <c r="J14" s="36" t="n"/>
      <c r="K14" s="37" t="n"/>
      <c r="L14" s="37" t="n"/>
      <c r="M14" s="37" t="n"/>
      <c r="N14" s="37" t="n"/>
      <c r="O14" s="37" t="n"/>
      <c r="P14" s="38" t="n"/>
      <c r="Q14" s="39" t="n"/>
      <c r="R14" s="40" t="n"/>
      <c r="S14" s="40" t="n"/>
      <c r="T14" s="40" t="n"/>
      <c r="U14" s="40" t="n"/>
      <c r="V14" s="40" t="n"/>
      <c r="W14" s="40" t="n"/>
      <c r="X14" s="40" t="n"/>
      <c r="Y14" s="40" t="n"/>
      <c r="Z14" s="40" t="n"/>
    </row>
    <row r="15" outlineLevel="1" s="47">
      <c r="A15" s="34" t="inlineStr">
        <is>
          <t>TC-03</t>
        </is>
      </c>
      <c r="B15" s="34" t="inlineStr">
        <is>
          <t>Submit report with valid description + 1 video.</t>
        </is>
      </c>
      <c r="C15" s="34" t="inlineStr">
        <is>
          <t>1. Log in.
2. Open report screen.
3. Enter valid description.
4. Attach 1 valid video (.mp4/.mov/.avi).
5. Submit report.</t>
        </is>
      </c>
      <c r="D15" s="34" t="inlineStr">
        <is>
          <t>HTTP 201 Created. Report saved with video reference. status=Published and score=1.</t>
        </is>
      </c>
      <c r="E15" s="34" t="inlineStr">
        <is>
          <t>Authenticated user. Video file size &lt;= maxVideoSizeBytes.</t>
        </is>
      </c>
      <c r="F15" s="37" t="n"/>
      <c r="G15" s="36" t="n"/>
      <c r="H15" s="37" t="n"/>
      <c r="I15" s="37" t="n"/>
      <c r="J15" s="36" t="n"/>
      <c r="K15" s="37" t="n"/>
      <c r="L15" s="37" t="n"/>
      <c r="M15" s="37" t="n"/>
      <c r="N15" s="37" t="n"/>
      <c r="O15" s="37" t="n"/>
      <c r="P15" s="41" t="n"/>
      <c r="Q15" s="39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outlineLevel="1" s="47">
      <c r="A16" s="34" t="inlineStr">
        <is>
          <t>TC-04</t>
        </is>
      </c>
      <c r="B16" s="34" t="inlineStr">
        <is>
          <t>Submit report with maximum allowed photo count (5 photos).</t>
        </is>
      </c>
      <c r="C16" s="34" t="inlineStr">
        <is>
          <t>1. Log in with a valid account.
2. Open Report Flood Point screen.
3. Attach exactly 5 valid photos.
4. Submit report.</t>
        </is>
      </c>
      <c r="D16" s="34" t="inlineStr">
        <is>
          <t>HTTP 201 Created. Report accepted with all 5 photos.</t>
        </is>
      </c>
      <c r="E16" s="34" t="inlineStr">
        <is>
          <t>Authenticated user. Each photo valid extension and size &lt;= 20MB.</t>
        </is>
      </c>
      <c r="F16" s="37" t="n"/>
      <c r="G16" s="36" t="n"/>
      <c r="H16" s="37" t="n"/>
      <c r="I16" s="37" t="n"/>
      <c r="J16" s="36" t="n"/>
      <c r="K16" s="37" t="n"/>
      <c r="L16" s="37" t="n"/>
      <c r="M16" s="37" t="n"/>
      <c r="N16" s="37" t="n"/>
      <c r="O16" s="37" t="n"/>
      <c r="P16" s="41" t="n"/>
      <c r="Q16" s="39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outlineLevel="1" s="47">
      <c r="A17" s="34" t="inlineStr">
        <is>
          <t>TC-05</t>
        </is>
      </c>
      <c r="B17" s="34" t="inlineStr">
        <is>
          <t>Submit report with maximum allowed video count (5 videos).</t>
        </is>
      </c>
      <c r="C17" s="34" t="inlineStr">
        <is>
          <t>1. Log in with a valid account.
2. Open Report Flood Point screen.
3. Attach exactly 5 valid videos.
4. Submit report.</t>
        </is>
      </c>
      <c r="D17" s="34" t="inlineStr">
        <is>
          <t>HTTP 201 Created. Report accepted with all 5 videos.</t>
        </is>
      </c>
      <c r="E17" s="34" t="inlineStr">
        <is>
          <t>Authenticated user. Each video valid extension and size &lt;= 200MB.</t>
        </is>
      </c>
      <c r="F17" s="37" t="n"/>
      <c r="G17" s="36" t="n"/>
      <c r="H17" s="37" t="n"/>
      <c r="I17" s="37" t="n"/>
      <c r="J17" s="36" t="n"/>
      <c r="K17" s="37" t="n"/>
      <c r="L17" s="37" t="n"/>
      <c r="M17" s="37" t="n"/>
      <c r="N17" s="37" t="n"/>
      <c r="O17" s="37" t="n"/>
      <c r="P17" s="41" t="n"/>
      <c r="Q17" s="39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outlineLevel="1" s="47">
      <c r="A18" s="34" t="inlineStr">
        <is>
          <t>TC-06</t>
        </is>
      </c>
      <c r="B18" s="34" t="inlineStr">
        <is>
          <t>Reject when photo count exceeds limit (more than 5).</t>
        </is>
      </c>
      <c r="C18" s="34" t="inlineStr">
        <is>
          <t>1. Log in with a valid account.
2. Open Report Flood Point screen.
3. Attach 6 valid photos.
4. Submit report.</t>
        </is>
      </c>
      <c r="D18" s="34" t="inlineStr">
        <is>
          <t>Request is rejected with validation error. Report is not created. UI shows clear limit message.</t>
        </is>
      </c>
      <c r="E18" s="34" t="inlineStr">
        <is>
          <t>Authenticated user.</t>
        </is>
      </c>
      <c r="F18" s="37" t="n"/>
      <c r="G18" s="36" t="n"/>
      <c r="H18" s="37" t="n"/>
      <c r="I18" s="37" t="n"/>
      <c r="J18" s="36" t="n"/>
      <c r="K18" s="37" t="n"/>
      <c r="L18" s="37" t="n"/>
      <c r="M18" s="37" t="n"/>
      <c r="N18" s="37" t="n"/>
      <c r="O18" s="37" t="n"/>
      <c r="P18" s="41" t="n"/>
      <c r="Q18" s="39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outlineLevel="1" s="47">
      <c r="A19" s="34" t="inlineStr">
        <is>
          <t>TC-07</t>
        </is>
      </c>
      <c r="B19" s="34" t="inlineStr">
        <is>
          <t>Reject when video count exceeds limit (more than 5).</t>
        </is>
      </c>
      <c r="C19" s="34" t="inlineStr">
        <is>
          <t>1. Log in with a valid account.
2. Open Report Flood Point screen.
3. Attach 6 valid videos.
4. Submit report.</t>
        </is>
      </c>
      <c r="D19" s="34" t="inlineStr">
        <is>
          <t>Request is rejected with validation error. Report is not created. UI shows clear limit message.</t>
        </is>
      </c>
      <c r="E19" s="34" t="inlineStr">
        <is>
          <t>Authenticated user.</t>
        </is>
      </c>
      <c r="F19" s="37" t="n"/>
      <c r="G19" s="36" t="n"/>
      <c r="H19" s="37" t="n"/>
      <c r="I19" s="37" t="n"/>
      <c r="J19" s="36" t="n"/>
      <c r="K19" s="37" t="n"/>
      <c r="L19" s="37" t="n"/>
      <c r="M19" s="37" t="n"/>
      <c r="N19" s="37" t="n"/>
      <c r="O19" s="37" t="n"/>
      <c r="P19" s="41" t="n"/>
      <c r="Q19" s="39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outlineLevel="1" s="47">
      <c r="A20" s="34" t="inlineStr">
        <is>
          <t>TC-08</t>
        </is>
      </c>
      <c r="B20" s="34" t="inlineStr">
        <is>
          <t>Reject unsupported photo extension.</t>
        </is>
      </c>
      <c r="C20" s="34" t="inlineStr">
        <is>
          <t>1. Log in with a valid account.
2. Open Report Flood Point screen.
3. Attach photo with unsupported extension (e.g., .gif/.bmp).
4. Submit report.</t>
        </is>
      </c>
      <c r="D20" s="34" t="inlineStr">
        <is>
          <t>Request is rejected with validation error for photo extension. Report is not created.</t>
        </is>
      </c>
      <c r="E20" s="34" t="inlineStr">
        <is>
          <t>Authenticated user.</t>
        </is>
      </c>
      <c r="F20" s="37" t="n"/>
      <c r="G20" s="36" t="n"/>
      <c r="H20" s="37" t="n"/>
      <c r="I20" s="37" t="n"/>
      <c r="J20" s="36" t="n"/>
      <c r="K20" s="37" t="n"/>
      <c r="L20" s="37" t="n"/>
      <c r="M20" s="37" t="n"/>
      <c r="N20" s="37" t="n"/>
      <c r="O20" s="37" t="n"/>
      <c r="P20" s="41" t="n"/>
      <c r="Q20" s="39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43" t="inlineStr">
        <is>
          <t>TC-09</t>
        </is>
      </c>
      <c r="B21" s="43" t="inlineStr">
        <is>
          <t>Reject unsupported video extension.</t>
        </is>
      </c>
      <c r="C21" s="43" t="inlineStr">
        <is>
          <t>1. Log in with a valid account.
2. Open Report Flood Point screen.
3. Attach video with unsupported extension (e.g., .mkv/.wmv).
4. Submit report.</t>
        </is>
      </c>
      <c r="D21" s="43" t="inlineStr">
        <is>
          <t>Request is rejected with validation error for video extension. Report is not created.</t>
        </is>
      </c>
      <c r="E21" s="43" t="inlineStr">
        <is>
          <t>Authenticated user.</t>
        </is>
      </c>
      <c r="F21" s="43" t="n"/>
      <c r="G21" s="43" t="n"/>
      <c r="H21" s="43" t="n"/>
      <c r="I21" s="43" t="n"/>
      <c r="J21" s="43" t="n"/>
      <c r="K21" s="43" t="n"/>
      <c r="L21" s="43" t="n"/>
      <c r="M21" s="43" t="n"/>
      <c r="N21" s="43" t="n"/>
      <c r="O21" s="43" t="n"/>
      <c r="P21" s="44" t="n"/>
      <c r="Q21" s="33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</row>
    <row r="22" outlineLevel="1" s="47">
      <c r="A22" s="34" t="inlineStr">
        <is>
          <t>TC-10</t>
        </is>
      </c>
      <c r="B22" s="34" t="inlineStr">
        <is>
          <t>Boundary check: photo size exactly 20MB is accepted.</t>
        </is>
      </c>
      <c r="C22" s="34" t="inlineStr">
        <is>
          <t>1. Log in with a valid account.
2. Open Report Flood Point screen.
3. Attach 1 photo exactly maxPhotoSizeBytes (20MB).
4. Submit report.</t>
        </is>
      </c>
      <c r="D22" s="34" t="inlineStr">
        <is>
          <t>HTTP 201 Created. Report accepted.</t>
        </is>
      </c>
      <c r="E22" s="34" t="inlineStr">
        <is>
          <t>Authenticated user. Accurate test file size prepared.</t>
        </is>
      </c>
      <c r="F22" s="37" t="n"/>
      <c r="G22" s="36" t="n"/>
      <c r="H22" s="37" t="n"/>
      <c r="I22" s="37" t="n"/>
      <c r="J22" s="36" t="n"/>
      <c r="K22" s="37" t="n"/>
      <c r="L22" s="37" t="n"/>
      <c r="M22" s="37" t="n"/>
      <c r="N22" s="37" t="n"/>
      <c r="O22" s="37" t="n"/>
      <c r="P22" s="41" t="n"/>
      <c r="Q22" s="39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outlineLevel="1" s="47">
      <c r="A23" s="34" t="inlineStr">
        <is>
          <t>TC-11</t>
        </is>
      </c>
      <c r="B23" s="34" t="inlineStr">
        <is>
          <t>Reject when single photo size is greater than 20MB.</t>
        </is>
      </c>
      <c r="C23" s="34" t="inlineStr">
        <is>
          <t>1. Log in with a valid account.
2. Open Report Flood Point screen.
3. Attach 1 photo larger than 20MB.
4. Submit report.</t>
        </is>
      </c>
      <c r="D23" s="34" t="inlineStr">
        <is>
          <t>Request is rejected with validation error for photo size. Report is not created.</t>
        </is>
      </c>
      <c r="E23" s="34" t="inlineStr">
        <is>
          <t>Authenticated user.</t>
        </is>
      </c>
      <c r="F23" s="37" t="n"/>
      <c r="G23" s="36" t="n"/>
      <c r="H23" s="37" t="n"/>
      <c r="I23" s="37" t="n"/>
      <c r="J23" s="36" t="n"/>
      <c r="K23" s="37" t="n"/>
      <c r="L23" s="37" t="n"/>
      <c r="M23" s="37" t="n"/>
      <c r="N23" s="37" t="n"/>
      <c r="O23" s="37" t="n"/>
      <c r="P23" s="41" t="n"/>
      <c r="Q23" s="39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outlineLevel="1" s="47">
      <c r="A24" s="34" t="inlineStr">
        <is>
          <t>TC-12</t>
        </is>
      </c>
      <c r="B24" s="34" t="inlineStr">
        <is>
          <t>Boundary check: video size exactly 200MB is accepted.</t>
        </is>
      </c>
      <c r="C24" s="34" t="inlineStr">
        <is>
          <t>1. Log in with a valid account.
2. Open Report Flood Point screen.
3. Attach 1 video exactly maxVideoSizeBytes (200MB).
4. Submit report.</t>
        </is>
      </c>
      <c r="D24" s="34" t="inlineStr">
        <is>
          <t>HTTP 201 Created. Report accepted.</t>
        </is>
      </c>
      <c r="E24" s="34" t="inlineStr">
        <is>
          <t>Authenticated user. Accurate test file size prepared.</t>
        </is>
      </c>
      <c r="F24" s="37" t="n"/>
      <c r="G24" s="36" t="n"/>
      <c r="H24" s="37" t="n"/>
      <c r="I24" s="37" t="n"/>
      <c r="J24" s="36" t="n"/>
      <c r="K24" s="37" t="n"/>
      <c r="L24" s="37" t="n"/>
      <c r="M24" s="37" t="n"/>
      <c r="N24" s="37" t="n"/>
      <c r="O24" s="37" t="n"/>
      <c r="P24" s="41" t="n"/>
      <c r="Q24" s="39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outlineLevel="1" s="47">
      <c r="A25" s="34" t="inlineStr">
        <is>
          <t>TC-13</t>
        </is>
      </c>
      <c r="B25" s="34" t="inlineStr">
        <is>
          <t>Reject when single video size is greater than 200MB.</t>
        </is>
      </c>
      <c r="C25" s="34" t="inlineStr">
        <is>
          <t>1. Log in with a valid account.
2. Open Report Flood Point screen.
3. Attach 1 video larger than 200MB.
4. Submit report.</t>
        </is>
      </c>
      <c r="D25" s="34" t="inlineStr">
        <is>
          <t>Request is rejected with validation error for video size. Report is not created.</t>
        </is>
      </c>
      <c r="E25" s="34" t="inlineStr">
        <is>
          <t>Authenticated user.</t>
        </is>
      </c>
      <c r="F25" s="37" t="n"/>
      <c r="G25" s="36" t="n"/>
      <c r="H25" s="37" t="n"/>
      <c r="I25" s="37" t="n"/>
      <c r="J25" s="36" t="n"/>
      <c r="K25" s="37" t="n"/>
      <c r="L25" s="37" t="n"/>
      <c r="M25" s="37" t="n"/>
      <c r="N25" s="37" t="n"/>
      <c r="O25" s="37" t="n"/>
      <c r="P25" s="41" t="n"/>
      <c r="Q25" s="39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outlineLevel="1" s="47">
      <c r="A26" s="34" t="inlineStr">
        <is>
          <t>TC-14</t>
        </is>
      </c>
      <c r="B26" s="34" t="inlineStr">
        <is>
          <t>Cooldown anti-spam: reject second post within 3 minutes (same user).</t>
        </is>
      </c>
      <c r="C26" s="34" t="inlineStr">
        <is>
          <t>1. User submits first valid report.
2. Within 3 minutes, submit second valid report from same account.</t>
        </is>
      </c>
      <c r="D26" s="34" t="inlineStr">
        <is>
          <t>Second request returns HTTP 429 Too Many Requests with message and retryAfterSeconds. No new report is created.</t>
        </is>
      </c>
      <c r="E26" s="34" t="inlineStr">
        <is>
          <t>Authenticated user. First report already created.</t>
        </is>
      </c>
      <c r="F26" s="37" t="n"/>
      <c r="G26" s="36" t="n"/>
      <c r="H26" s="37" t="n"/>
      <c r="I26" s="37" t="n"/>
      <c r="J26" s="36" t="n"/>
      <c r="K26" s="37" t="n"/>
      <c r="L26" s="37" t="n"/>
      <c r="M26" s="37" t="n"/>
      <c r="N26" s="37" t="n"/>
      <c r="O26" s="37" t="n"/>
      <c r="P26" s="41" t="n"/>
      <c r="Q26" s="39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outlineLevel="1" s="47">
      <c r="A27" s="34" t="inlineStr">
        <is>
          <t>TC-15</t>
        </is>
      </c>
      <c r="B27" s="34" t="inlineStr">
        <is>
          <t>Cooldown anti-spam: allow submit after cooldown window passes.</t>
        </is>
      </c>
      <c r="C27" s="34" t="inlineStr">
        <is>
          <t>1. User submits first valid report.
2. Wait until &gt;= 3 minutes.
3. Submit another valid report.</t>
        </is>
      </c>
      <c r="D27" s="34" t="inlineStr">
        <is>
          <t>Second request returns HTTP 201 Created. Report is saved normally.</t>
        </is>
      </c>
      <c r="E27" s="34" t="inlineStr">
        <is>
          <t>Authenticated user. Time synchronization is correct.</t>
        </is>
      </c>
      <c r="F27" s="37" t="n"/>
      <c r="G27" s="36" t="n"/>
      <c r="H27" s="37" t="n"/>
      <c r="I27" s="37" t="n"/>
      <c r="J27" s="36" t="n"/>
      <c r="K27" s="37" t="n"/>
      <c r="L27" s="37" t="n"/>
      <c r="M27" s="37" t="n"/>
      <c r="N27" s="37" t="n"/>
      <c r="O27" s="37" t="n"/>
      <c r="P27" s="41" t="n"/>
      <c r="Q27" s="39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outlineLevel="1" s="47">
      <c r="A28" s="34" t="inlineStr">
        <is>
          <t>TC-16</t>
        </is>
      </c>
      <c r="B28" s="34" t="inlineStr">
        <is>
          <t>Coordinate burst rule: new report becomes Hidden when &gt;3 reports exist in 50m/10m window.</t>
        </is>
      </c>
      <c r="C28" s="34" t="inlineStr">
        <is>
          <t>1. Prepare at least 4 reports in same area (within 50m) and recent 10 minutes.
2. Submit another valid report at same area.</t>
        </is>
      </c>
      <c r="D28" s="34" t="inlineStr">
        <is>
          <t>HTTP 201 Created. New report is saved with status=Hidden (not for FE-26 public feed), score=1.</t>
        </is>
      </c>
      <c r="E28" s="34" t="inlineStr">
        <is>
          <t>Authenticated user. Nearby reports dataset prepared.</t>
        </is>
      </c>
      <c r="F28" s="37" t="n"/>
      <c r="G28" s="36" t="n"/>
      <c r="H28" s="37" t="n"/>
      <c r="I28" s="37" t="n"/>
      <c r="J28" s="36" t="n"/>
      <c r="K28" s="37" t="n"/>
      <c r="L28" s="37" t="n"/>
      <c r="M28" s="37" t="n"/>
      <c r="N28" s="37" t="n"/>
      <c r="O28" s="37" t="n"/>
      <c r="P28" s="41" t="n"/>
      <c r="Q28" s="39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outlineLevel="1" s="47">
      <c r="A29" s="34" t="inlineStr">
        <is>
          <t>TC-17</t>
        </is>
      </c>
      <c r="B29" s="34" t="inlineStr">
        <is>
          <t>Coordinate threshold not exceeded: report remains Published when nearby count &lt;= 3.</t>
        </is>
      </c>
      <c r="C29" s="34" t="inlineStr">
        <is>
          <t>1. Prepare up to 3 recent nearby reports (within 50m, 10 minutes).
2. Submit another valid report.</t>
        </is>
      </c>
      <c r="D29" s="34" t="inlineStr">
        <is>
          <t>HTTP 201 Created. New report status=Published.</t>
        </is>
      </c>
      <c r="E29" s="34" t="inlineStr">
        <is>
          <t>Authenticated user. Nearby reports dataset prepared.</t>
        </is>
      </c>
      <c r="F29" s="37" t="n"/>
      <c r="G29" s="36" t="n"/>
      <c r="H29" s="37" t="n"/>
      <c r="I29" s="37" t="n"/>
      <c r="J29" s="36" t="n"/>
      <c r="K29" s="37" t="n"/>
      <c r="L29" s="37" t="n"/>
      <c r="M29" s="37" t="n"/>
      <c r="N29" s="37" t="n"/>
      <c r="O29" s="37" t="n"/>
      <c r="P29" s="41" t="n"/>
      <c r="Q29" s="39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outlineLevel="1" s="47">
      <c r="A30" s="34" t="inlineStr">
        <is>
          <t>TC-18</t>
        </is>
      </c>
      <c r="B30" s="34" t="inlineStr">
        <is>
          <t>Reject invalid latitude/longitude range.</t>
        </is>
      </c>
      <c r="C30" s="34" t="inlineStr">
        <is>
          <t>1. Log in with a valid account.
2. Open Report Flood Point screen.
3. Set latitude outside [-90,90] or longitude outside [-180,180].
4. Submit report.</t>
        </is>
      </c>
      <c r="D30" s="34" t="inlineStr">
        <is>
          <t>Request is rejected with validation error. Report is not created.</t>
        </is>
      </c>
      <c r="E30" s="34" t="inlineStr">
        <is>
          <t>Authenticated user.</t>
        </is>
      </c>
      <c r="F30" s="37" t="n"/>
      <c r="G30" s="36" t="n"/>
      <c r="H30" s="37" t="n"/>
      <c r="I30" s="37" t="n"/>
      <c r="J30" s="36" t="n"/>
      <c r="K30" s="37" t="n"/>
      <c r="L30" s="37" t="n"/>
      <c r="M30" s="37" t="n"/>
      <c r="N30" s="37" t="n"/>
      <c r="O30" s="37" t="n"/>
      <c r="P30" s="41" t="n"/>
      <c r="Q30" s="39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outlineLevel="1" s="47">
      <c r="A31" s="34" t="inlineStr">
        <is>
          <t>TC-19</t>
        </is>
      </c>
      <c r="B31" s="34" t="inlineStr">
        <is>
          <t>Reject unauthenticated request to create flood report.</t>
        </is>
      </c>
      <c r="C31" s="34" t="inlineStr">
        <is>
          <t>1. Sign out or remove access token.
2. Attempt to submit valid report payload.</t>
        </is>
      </c>
      <c r="D31" s="34" t="inlineStr">
        <is>
          <t>HTTP 401 Unauthorized (or auth failure response). Report is not created.</t>
        </is>
      </c>
      <c r="E31" s="34" t="inlineStr">
        <is>
          <t>No valid authentication token.</t>
        </is>
      </c>
      <c r="F31" s="37" t="n"/>
      <c r="G31" s="36" t="n"/>
      <c r="H31" s="37" t="n"/>
      <c r="I31" s="37" t="n"/>
      <c r="J31" s="36" t="n"/>
      <c r="K31" s="37" t="n"/>
      <c r="L31" s="37" t="n"/>
      <c r="M31" s="37" t="n"/>
      <c r="N31" s="37" t="n"/>
      <c r="O31" s="37" t="n"/>
      <c r="P31" s="41" t="n"/>
      <c r="Q31" s="39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outlineLevel="1" s="47">
      <c r="A32" s="34" t="inlineStr">
        <is>
          <t>TC-20</t>
        </is>
      </c>
      <c r="B32" s="34" t="inlineStr">
        <is>
          <t>Verify response returns mediaLimits metadata after successful creation.</t>
        </is>
      </c>
      <c r="C32" s="34" t="inlineStr">
        <is>
          <t>1. Log in with a valid account.
2. Open Report Flood Point screen.
3. Submit a valid report.
4. Inspect create response body.</t>
        </is>
      </c>
      <c r="D32" s="34" t="inlineStr">
        <is>
          <t>Response includes mediaLimits: maxPhotoCount=5, maxVideoCount=5, maxPhotoSizeBytes=20971520, maxVideoSizeBytes=209715200, allowed extensions arrays.</t>
        </is>
      </c>
      <c r="E32" s="34" t="inlineStr">
        <is>
          <t>Authenticated user.</t>
        </is>
      </c>
      <c r="F32" s="37" t="n"/>
      <c r="G32" s="36" t="n"/>
      <c r="H32" s="37" t="n"/>
      <c r="I32" s="37" t="n"/>
      <c r="J32" s="36" t="n"/>
      <c r="K32" s="37" t="n"/>
      <c r="L32" s="37" t="n"/>
      <c r="M32" s="37" t="n"/>
      <c r="N32" s="37" t="n"/>
      <c r="O32" s="37" t="n"/>
      <c r="P32" s="41" t="n"/>
      <c r="Q32" s="39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outlineLevel="1" s="47">
      <c r="A33" s="34" t="n"/>
      <c r="B33" s="34" t="n"/>
      <c r="C33" s="34" t="n"/>
      <c r="D33" s="34" t="n"/>
      <c r="E33" s="34" t="n"/>
      <c r="F33" s="37" t="n"/>
      <c r="G33" s="36" t="n"/>
      <c r="H33" s="37" t="n"/>
      <c r="I33" s="37" t="n"/>
      <c r="J33" s="36" t="n"/>
      <c r="K33" s="37" t="n"/>
      <c r="L33" s="37" t="n"/>
      <c r="M33" s="37" t="n"/>
      <c r="N33" s="37" t="n"/>
      <c r="O33" s="37" t="n"/>
      <c r="P33" s="41" t="n"/>
      <c r="Q33" s="39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43" t="n"/>
      <c r="B34" s="43" t="n"/>
      <c r="C34" s="43" t="n"/>
      <c r="D34" s="43" t="n"/>
      <c r="E34" s="43" t="n"/>
      <c r="F34" s="43" t="n"/>
      <c r="G34" s="43" t="n"/>
      <c r="H34" s="43" t="n"/>
      <c r="I34" s="43" t="n"/>
      <c r="J34" s="43" t="n"/>
      <c r="K34" s="43" t="n"/>
      <c r="L34" s="43" t="n"/>
      <c r="M34" s="43" t="n"/>
      <c r="N34" s="43" t="n"/>
      <c r="O34" s="43" t="n"/>
      <c r="P34" s="44" t="n"/>
      <c r="Q34" s="33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</row>
    <row r="35" outlineLevel="1" s="47">
      <c r="A35" s="34" t="n"/>
      <c r="B35" s="34" t="n"/>
      <c r="C35" s="34" t="n"/>
      <c r="D35" s="34" t="n"/>
      <c r="E35" s="34" t="n"/>
      <c r="F35" s="37" t="n"/>
      <c r="G35" s="36" t="n"/>
      <c r="H35" s="37" t="n"/>
      <c r="I35" s="37" t="n"/>
      <c r="J35" s="36" t="n"/>
      <c r="K35" s="37" t="n"/>
      <c r="L35" s="37" t="n"/>
      <c r="M35" s="37" t="n"/>
      <c r="N35" s="37" t="n"/>
      <c r="O35" s="37" t="n"/>
      <c r="P35" s="41" t="n"/>
      <c r="Q35" s="39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34" t="n"/>
      <c r="B36" s="34" t="n"/>
      <c r="C36" s="34" t="n"/>
      <c r="D36" s="34" t="n"/>
      <c r="E36" s="34" t="n"/>
      <c r="F36" s="37" t="n"/>
      <c r="G36" s="36" t="n"/>
      <c r="H36" s="37" t="n"/>
      <c r="I36" s="37" t="n"/>
      <c r="J36" s="36" t="n"/>
      <c r="K36" s="37" t="n"/>
      <c r="L36" s="37" t="n"/>
      <c r="M36" s="37" t="n"/>
      <c r="N36" s="37" t="n"/>
      <c r="O36" s="37" t="n"/>
      <c r="P36" s="41" t="n"/>
      <c r="Q36" s="2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34" t="n"/>
      <c r="B37" s="34" t="n"/>
      <c r="C37" s="34" t="n"/>
      <c r="D37" s="34" t="n"/>
      <c r="E37" s="34" t="n"/>
      <c r="F37" s="37" t="n"/>
      <c r="G37" s="36" t="n"/>
      <c r="H37" s="37" t="n"/>
      <c r="I37" s="37" t="n"/>
      <c r="J37" s="36" t="n"/>
      <c r="K37" s="37" t="n"/>
      <c r="L37" s="37" t="n"/>
      <c r="M37" s="37" t="n"/>
      <c r="N37" s="37" t="n"/>
      <c r="O37" s="37" t="n"/>
      <c r="P37" s="41" t="n"/>
      <c r="Q37" s="2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34" t="n"/>
      <c r="B38" s="34" t="n"/>
      <c r="C38" s="34" t="n"/>
      <c r="D38" s="45" t="n"/>
      <c r="E38" s="34" t="n"/>
      <c r="F38" s="37" t="n"/>
      <c r="G38" s="36" t="n"/>
      <c r="H38" s="37" t="n"/>
      <c r="I38" s="37" t="n"/>
      <c r="J38" s="36" t="n"/>
      <c r="K38" s="37" t="n"/>
      <c r="L38" s="37" t="n"/>
      <c r="M38" s="37" t="n"/>
      <c r="N38" s="37" t="n"/>
      <c r="O38" s="37" t="n"/>
      <c r="P38" s="41" t="n"/>
      <c r="Q38" s="2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34" t="n"/>
      <c r="B39" s="34" t="n"/>
      <c r="C39" s="34" t="n"/>
      <c r="D39" s="34" t="n"/>
      <c r="E39" s="34" t="n"/>
      <c r="F39" s="37" t="n"/>
      <c r="G39" s="36" t="n"/>
      <c r="H39" s="37" t="n"/>
      <c r="I39" s="37" t="n"/>
      <c r="J39" s="36" t="n"/>
      <c r="K39" s="37" t="n"/>
      <c r="L39" s="37" t="n"/>
      <c r="M39" s="37" t="n"/>
      <c r="N39" s="37" t="n"/>
      <c r="O39" s="37" t="n"/>
      <c r="P39" s="41" t="n"/>
      <c r="Q39" s="2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34" t="n"/>
      <c r="B40" s="34" t="n"/>
      <c r="C40" s="34" t="n"/>
      <c r="D40" s="34" t="n"/>
      <c r="E40" s="34" t="n"/>
      <c r="F40" s="37" t="n"/>
      <c r="G40" s="36" t="n"/>
      <c r="H40" s="37" t="n"/>
      <c r="I40" s="37" t="n"/>
      <c r="J40" s="36" t="n"/>
      <c r="K40" s="37" t="n"/>
      <c r="L40" s="37" t="n"/>
      <c r="M40" s="37" t="n"/>
      <c r="N40" s="37" t="n"/>
      <c r="O40" s="37" t="n"/>
      <c r="P40" s="41" t="n"/>
      <c r="Q40" s="2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37" t="n"/>
      <c r="B41" s="37" t="n"/>
      <c r="C41" s="37" t="n"/>
      <c r="D41" s="37" t="n"/>
      <c r="E41" s="37" t="n"/>
      <c r="F41" s="37" t="n"/>
      <c r="G41" s="37" t="n"/>
      <c r="H41" s="37" t="n"/>
      <c r="I41" s="37" t="n"/>
      <c r="J41" s="37" t="n"/>
      <c r="K41" s="37" t="n"/>
      <c r="L41" s="37" t="n"/>
      <c r="M41" s="37" t="n"/>
      <c r="N41" s="37" t="n"/>
      <c r="O41" s="37" t="n"/>
      <c r="P41" s="41" t="n"/>
      <c r="Q41" s="2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46" t="n"/>
      <c r="B42" s="46" t="n"/>
      <c r="C42" s="46" t="n"/>
      <c r="D42" s="46" t="n"/>
      <c r="E42" s="46" t="n"/>
      <c r="F42" s="46" t="n"/>
      <c r="G42" s="46" t="n"/>
      <c r="H42" s="46" t="n"/>
      <c r="I42" s="46" t="n"/>
      <c r="J42" s="46" t="n"/>
      <c r="K42" s="46" t="n"/>
      <c r="L42" s="46" t="n"/>
      <c r="M42" s="46" t="n"/>
      <c r="N42" s="46" t="n"/>
      <c r="O42" s="46" t="n"/>
      <c r="P42" s="1" t="n"/>
      <c r="Q42" s="2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2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2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2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2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2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2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2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2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2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2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2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2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2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2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2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2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2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2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2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2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2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2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2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2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2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2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2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2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2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2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2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2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2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2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2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2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2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2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2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2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2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2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2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2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2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2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2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2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2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2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2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2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2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2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2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2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2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2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2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2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2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2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2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2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2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2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2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2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2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2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2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2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2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2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2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2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2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2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2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2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2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2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2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2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2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2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2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2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2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2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2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2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2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2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2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2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2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2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2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2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2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2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2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2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2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2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2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2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2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2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2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2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2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2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2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2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2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2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2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2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2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2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2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2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2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2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2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2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2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2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2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2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2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2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2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2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2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2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2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2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2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2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2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2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2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2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2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2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2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2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2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2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2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2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2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2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2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2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2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2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2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2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2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2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2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2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2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2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2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2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2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2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2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2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2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2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2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2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2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2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2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2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2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2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2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2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2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2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2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2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2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2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2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</sheetData>
  <mergeCells count="3">
    <mergeCell ref="B3:E3"/>
    <mergeCell ref="B2:E2"/>
    <mergeCell ref="B4:E4"/>
  </mergeCells>
  <pageMargins left="0.747916666666667" right="0.25" top="0.75" bottom="0.9840277777777779" header="0" footer="0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2026-04-09T01:32:02Z</dcterms:created>
  <dcterms:modified xmlns:dcterms="http://purl.org/dc/terms/" xmlns:xsi="http://www.w3.org/2001/XMLSchema-instance" xsi:type="dcterms:W3CDTF">2026-04-09T05:18:19Z</dcterms:modified>
</cp:coreProperties>
</file>